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票头" sheetId="2" state="visible" r:id="rId2"/>
    <sheet name="检查清单" sheetId="3" state="visible" r:id="rId3"/>
    <sheet name="统计" sheetId="4" state="visible" r:id="rId4"/>
  </sheets>
  <definedNames>
    <definedName name="_xlnm.Print_Titles" localSheetId="0">'使用说明'!$1:$1</definedName>
    <definedName name="_xlnm._FilterDatabase" localSheetId="2" hidden="1">'检查清单'!$A$1:$K$42</definedName>
    <definedName name="_xlnm.Print_Titles" localSheetId="2">'检查清单'!$1:$1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sz val="10"/>
    </font>
    <font>
      <name val="Microsoft YaHei"/>
      <b val="1"/>
      <color rgb="00FFFFFF"/>
      <sz val="10"/>
    </font>
    <font>
      <name val="Microsoft YaHei"/>
      <i val="1"/>
      <color rgb="00666666"/>
      <sz val="9"/>
    </font>
    <font>
      <name val="Microsoft YaHei"/>
      <b val="1"/>
      <sz val="1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6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ADBD8"/>
      </patternFill>
    </fill>
    <fill>
      <patternFill patternType="solid">
        <fgColor rgb="00E8DAEF"/>
      </patternFill>
    </fill>
    <fill>
      <patternFill patternType="solid">
        <fgColor rgb="00FDEBD0"/>
      </patternFill>
    </fill>
    <fill>
      <patternFill patternType="solid">
        <fgColor rgb="00D5D8DC"/>
      </patternFill>
    </fill>
    <fill>
      <patternFill patternType="solid">
        <fgColor rgb="00AED6F1"/>
      </patternFill>
    </fill>
    <fill>
      <patternFill patternType="solid">
        <fgColor rgb="00F5CBA7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0" pivotButton="0" quotePrefix="0" xfId="0"/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vertical="center" wrapText="1"/>
    </xf>
    <xf numFmtId="0" fontId="2" fillId="0" borderId="1" pivotButton="0" quotePrefix="0" xfId="0"/>
    <xf numFmtId="0" fontId="2" fillId="13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出口 Initiate 跨部门 Checklist v1</t>
        </is>
      </c>
    </row>
    <row r="3" ht="22" customHeight="1">
      <c r="A3" s="2" t="inlineStr">
        <is>
          <t>Owner：出口部门（物流部下属）。进出口、仓库同属物流部；仓库只答「仓库」行；进出口答 I 段。</t>
        </is>
      </c>
    </row>
    <row r="4" ht="22" customHeight="1">
      <c r="A4" s="2" t="inlineStr">
        <is>
          <t>触发：业务/PC 已 initiate 出口、尚未锁定 Filling Order。红灯不排产、不订舱。</t>
        </is>
      </c>
    </row>
    <row r="5" ht="22" customHeight="1">
      <c r="A5" s="2" t="inlineStr">
        <is>
          <t>目标：先合法出中国国门。目的国 REACH/CLP/ADR、境外进口商本阶段勾「— 不适用」。</t>
        </is>
      </c>
    </row>
    <row r="6" ht="22" customHeight="1">
      <c r="A6" s="2" t="inlineStr">
        <is>
          <t>抬头：一律独山。禁止金山抬头出口，不必再问。</t>
        </is>
      </c>
    </row>
    <row r="7" ht="22" customHeight="1">
      <c r="A7" s="2" t="inlineStr">
        <is>
          <t>相容性（R2）：仅海关要求时做；未要求选「— 不适用」。</t>
        </is>
      </c>
    </row>
    <row r="8" ht="22" customHeight="1">
      <c r="A8" s="2" t="inlineStr">
        <is>
          <t>时限与首出口缓冲天数：整厂出口流程图做出后再写入。本表不设回复截止日期。</t>
        </is>
      </c>
    </row>
    <row r="9" ht="22" customHeight="1">
      <c r="A9" s="2" t="inlineStr">
        <is>
          <t>会签：不强制。出口部门在「票头」勾选「可进入 Filling Order」即放行。会签是否要做另议。</t>
        </is>
      </c>
    </row>
    <row r="10" ht="22" customHeight="1">
      <c r="A10" s="2" t="inlineStr">
        <is>
          <t>用法：先填「票头」→ 按部门筛选「检查清单」→「完成」列下拉勾选 →「灯」列选绿/黄/红/不适用。</t>
        </is>
      </c>
    </row>
    <row r="11" ht="22" customHeight="1">
      <c r="A11" s="2" t="inlineStr">
        <is>
          <t>只收书面答复（邮件/S1/S3/PDF）。黄灯尽量填责任人与日期。</t>
        </is>
      </c>
    </row>
    <row r="12" ht="22" customHeight="1">
      <c r="A12" s="2" t="inlineStr">
        <is>
          <t>对应知识库：knowledge/02-products/export-initiate-checklist.md</t>
        </is>
      </c>
    </row>
  </sheetData>
  <mergeCells count="11">
    <mergeCell ref="A11:F11"/>
    <mergeCell ref="A10:F10"/>
    <mergeCell ref="A1:F1"/>
    <mergeCell ref="A5:F5"/>
    <mergeCell ref="A9:F9"/>
    <mergeCell ref="A8:F8"/>
    <mergeCell ref="A6:F6"/>
    <mergeCell ref="A12:F12"/>
    <mergeCell ref="A4:F4"/>
    <mergeCell ref="A3:F3"/>
    <mergeCell ref="A7:F7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tabColor rgb="002E86C1"/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48" customWidth="1" min="3" max="3"/>
  </cols>
  <sheetData>
    <row r="1">
      <c r="A1" s="1" t="inlineStr">
        <is>
          <t>本票信息（出口部门先填，再发给各部门）</t>
        </is>
      </c>
    </row>
    <row r="3">
      <c r="A3" s="3" t="inlineStr">
        <is>
          <t>字段</t>
        </is>
      </c>
      <c r="B3" s="3" t="inlineStr">
        <is>
          <t>填写</t>
        </is>
      </c>
      <c r="C3" s="3" t="inlineStr">
        <is>
          <t>说明</t>
        </is>
      </c>
    </row>
    <row r="4" ht="22" customHeight="1">
      <c r="A4" s="4" t="inlineStr">
        <is>
          <t>需求号 / SO</t>
        </is>
      </c>
      <c r="B4" s="5" t="inlineStr"/>
      <c r="C4" s="6" t="inlineStr">
        <is>
          <t>没有需求号可用 PC 邮件编号</t>
        </is>
      </c>
    </row>
    <row r="5" ht="22" customHeight="1">
      <c r="A5" s="4" t="inlineStr">
        <is>
          <t>10 位产品码</t>
        </is>
      </c>
      <c r="B5" s="5" t="inlineStr"/>
      <c r="C5" s="6" t="n"/>
    </row>
    <row r="6" ht="22" customHeight="1">
      <c r="A6" s="4" t="inlineStr">
        <is>
          <t>目的国</t>
        </is>
      </c>
      <c r="B6" s="5" t="inlineStr"/>
      <c r="C6" s="6" t="n"/>
    </row>
    <row r="7" ht="22" customHeight="1">
      <c r="A7" s="4" t="inlineStr">
        <is>
          <t>收货人类型（客户/汉堡/关联方）</t>
        </is>
      </c>
      <c r="B7" s="5" t="inlineStr"/>
      <c r="C7" s="6" t="n"/>
    </row>
    <row r="8" ht="22" customHeight="1">
      <c r="A8" s="4" t="inlineStr">
        <is>
          <t>运输方式（海/空/海+空）</t>
        </is>
      </c>
      <c r="B8" s="5" t="inlineStr"/>
      <c r="C8" s="6" t="n"/>
    </row>
    <row r="9" ht="22" customHeight="1">
      <c r="A9" s="4" t="inlineStr">
        <is>
          <t>样品或商业</t>
        </is>
      </c>
      <c r="B9" s="5" t="inlineStr"/>
      <c r="C9" s="6" t="n"/>
    </row>
    <row r="10" ht="22" customHeight="1">
      <c r="A10" s="4" t="inlineStr">
        <is>
          <t>期望出运周</t>
        </is>
      </c>
      <c r="B10" s="5" t="inlineStr"/>
      <c r="C10" s="6" t="n"/>
    </row>
    <row r="11" ht="22" customHeight="1">
      <c r="A11" s="4" t="inlineStr">
        <is>
          <t>出运抬头（锁定）</t>
        </is>
      </c>
      <c r="B11" s="5" t="inlineStr">
        <is>
          <t>独山（不可改为金山）</t>
        </is>
      </c>
      <c r="C11" s="6" t="inlineStr">
        <is>
          <t>锁定口径，勿改</t>
        </is>
      </c>
    </row>
    <row r="12" ht="22" customHeight="1">
      <c r="A12" s="4" t="inlineStr">
        <is>
          <t>出口部门经办</t>
        </is>
      </c>
      <c r="B12" s="5" t="inlineStr"/>
      <c r="C12" s="6" t="n"/>
    </row>
    <row r="13" ht="22" customHeight="1">
      <c r="A13" s="4" t="inlineStr">
        <is>
          <t>发起日期</t>
        </is>
      </c>
      <c r="B13" s="5" t="inlineStr"/>
      <c r="C13" s="6" t="n"/>
    </row>
    <row r="14" ht="22" customHeight="1">
      <c r="A14" s="4" t="inlineStr">
        <is>
          <t>是否该国首出口（出口部门判定）</t>
        </is>
      </c>
      <c r="B14" s="5" t="inlineStr"/>
      <c r="C14" s="6" t="inlineStr">
        <is>
          <t>是 / 否 / 待判定。缓冲天数待流程图</t>
        </is>
      </c>
    </row>
    <row r="15" ht="22" customHeight="1">
      <c r="A15" s="4" t="inlineStr">
        <is>
          <t>本票可进入 Filling Order</t>
        </is>
      </c>
      <c r="B15" s="5" t="inlineStr">
        <is>
          <t>☐ 未完成</t>
        </is>
      </c>
      <c r="C15" s="6" t="inlineStr">
        <is>
          <t>仅出口部门勾选。不要求业务/采购/计划会签</t>
        </is>
      </c>
    </row>
    <row r="17">
      <c r="A17" s="7" t="inlineStr">
        <is>
          <t>红灯汇总（可手工列出编号）</t>
        </is>
      </c>
    </row>
    <row r="18" ht="48" customHeight="1">
      <c r="A18" s="8" t="n"/>
    </row>
    <row r="19"/>
    <row r="20"/>
  </sheetData>
  <mergeCells count="2">
    <mergeCell ref="A18:C20"/>
    <mergeCell ref="A1:D1"/>
  </mergeCells>
  <dataValidations count="4">
    <dataValidation sqref="B15" showDropDown="0" showInputMessage="0" showErrorMessage="0" allowBlank="1" errorTitle="勾选" error="请从下拉选择" promptTitle="完成" prompt="勾选完成状态" type="list">
      <formula1>"☐ 未完成,☑ 已完成,— 不适用"</formula1>
    </dataValidation>
    <dataValidation sqref="B14" showDropDown="0" showInputMessage="0" showErrorMessage="0" allowBlank="1" type="list">
      <formula1>"待判定,是,否"</formula1>
    </dataValidation>
    <dataValidation sqref="B8" showDropDown="0" showInputMessage="0" showErrorMessage="0" allowBlank="1" type="list">
      <formula1>"海运,空运,海+空,待定"</formula1>
    </dataValidation>
    <dataValidation sqref="B9" showDropDown="0" showInputMessage="0" showErrorMessage="0" allowBlank="1" type="list">
      <formula1>"样品,商业出货"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17A65"/>
    <outlinePr summaryBelow="1" summaryRight="1"/>
    <pageSetUpPr fitToPage="1"/>
  </sheetPr>
  <dimension ref="A1:K4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42" customWidth="1" min="3" max="3"/>
    <col width="40" customWidth="1" min="4" max="4"/>
    <col width="32" customWidth="1" min="5" max="5"/>
    <col width="16" customWidth="1" min="6" max="6"/>
    <col width="12" customWidth="1" min="7" max="7"/>
    <col width="28" customWidth="1" min="8" max="8"/>
    <col width="12" customWidth="1" min="9" max="9"/>
    <col width="12" customWidth="1" min="10" max="10"/>
    <col width="20" customWidth="1" min="11" max="11"/>
  </cols>
  <sheetData>
    <row r="1">
      <c r="A1" s="3" t="inlineStr">
        <is>
          <t>部门</t>
        </is>
      </c>
      <c r="B1" s="3" t="inlineStr">
        <is>
          <t>编号</t>
        </is>
      </c>
      <c r="C1" s="3" t="inlineStr">
        <is>
          <t>检查项</t>
        </is>
      </c>
      <c r="D1" s="3" t="inlineStr">
        <is>
          <t>合格标准</t>
        </is>
      </c>
      <c r="E1" s="3" t="inlineStr">
        <is>
          <t>灯规则</t>
        </is>
      </c>
      <c r="F1" s="3" t="inlineStr">
        <is>
          <t>完成（勾选）</t>
        </is>
      </c>
      <c r="G1" s="3" t="inlineStr">
        <is>
          <t>灯</t>
        </is>
      </c>
      <c r="H1" s="3" t="inlineStr">
        <is>
          <t>书面回复 / 附件</t>
        </is>
      </c>
      <c r="I1" s="3" t="inlineStr">
        <is>
          <t>责任人</t>
        </is>
      </c>
      <c r="J1" s="3" t="inlineStr">
        <is>
          <t>日期</t>
        </is>
      </c>
      <c r="K1" s="3" t="inlineStr">
        <is>
          <t>备注</t>
        </is>
      </c>
    </row>
    <row r="2" ht="36" customHeight="1">
      <c r="A2" s="9" t="inlineStr">
        <is>
          <t>业务 / PC</t>
        </is>
      </c>
      <c r="B2" s="9" t="inlineStr">
        <is>
          <t>B1</t>
        </is>
      </c>
      <c r="C2" s="10" t="inlineStr">
        <is>
          <t>目的国、最终收货人、客户还是汉堡/关联方</t>
        </is>
      </c>
      <c r="D2" s="10" t="inlineStr">
        <is>
          <t>国别、全称、地址类型书面</t>
        </is>
      </c>
      <c r="E2" s="10" t="inlineStr">
        <is>
          <t>缺国别=红</t>
        </is>
      </c>
      <c r="F2" s="11" t="inlineStr">
        <is>
          <t>☐ 未完成</t>
        </is>
      </c>
      <c r="G2" s="11" t="inlineStr">
        <is>
          <t>未评</t>
        </is>
      </c>
      <c r="H2" s="5" t="n"/>
      <c r="I2" s="11" t="n"/>
      <c r="J2" s="11" t="n"/>
      <c r="K2" s="5" t="n"/>
    </row>
    <row r="3" ht="36" customHeight="1">
      <c r="A3" s="9" t="inlineStr">
        <is>
          <t>业务 / PC</t>
        </is>
      </c>
      <c r="B3" s="9" t="inlineStr">
        <is>
          <t>B2</t>
        </is>
      </c>
      <c r="C3" s="10" t="inlineStr">
        <is>
          <t>贸易条款（Incoterms）——中国出境报关所需</t>
        </is>
      </c>
      <c r="D3" s="10" t="inlineStr">
        <is>
          <t>条款书面；运保与报关一致。不卡目的国 VAT</t>
        </is>
      </c>
      <c r="E3" s="10" t="inlineStr">
        <is>
          <t>完全未定=红</t>
        </is>
      </c>
      <c r="F3" s="11" t="inlineStr">
        <is>
          <t>☐ 未完成</t>
        </is>
      </c>
      <c r="G3" s="11" t="inlineStr">
        <is>
          <t>未评</t>
        </is>
      </c>
      <c r="H3" s="5" t="n"/>
      <c r="I3" s="11" t="n"/>
      <c r="J3" s="11" t="n"/>
      <c r="K3" s="5" t="n"/>
    </row>
    <row r="4" ht="36" customHeight="1">
      <c r="A4" s="9" t="inlineStr">
        <is>
          <t>业务 / PC</t>
        </is>
      </c>
      <c r="B4" s="9" t="inlineStr">
        <is>
          <t>B3</t>
        </is>
      </c>
      <c r="C4" s="10" t="inlineStr">
        <is>
          <t>10 位产品码；固化剂/稀释剂分票还是一套</t>
        </is>
      </c>
      <c r="D4" s="10" t="inlineStr">
        <is>
          <t>码已定义；配套品身份不混报</t>
        </is>
      </c>
      <c r="E4" s="10" t="inlineStr">
        <is>
          <t>无码=红</t>
        </is>
      </c>
      <c r="F4" s="11" t="inlineStr">
        <is>
          <t>☐ 未完成</t>
        </is>
      </c>
      <c r="G4" s="11" t="inlineStr">
        <is>
          <t>未评</t>
        </is>
      </c>
      <c r="H4" s="5" t="n"/>
      <c r="I4" s="11" t="n"/>
      <c r="J4" s="11" t="n"/>
      <c r="K4" s="5" t="n"/>
    </row>
    <row r="5" ht="36" customHeight="1">
      <c r="A5" s="9" t="inlineStr">
        <is>
          <t>业务 / PC</t>
        </is>
      </c>
      <c r="B5" s="9" t="inlineStr">
        <is>
          <t>B4</t>
        </is>
      </c>
      <c r="C5" s="10" t="inlineStr">
        <is>
          <t>数量、包装意向、样品或商业、货值币种</t>
        </is>
      </c>
      <c r="D5" s="10" t="inlineStr">
        <is>
          <t>可报关；样品仍有 customs value</t>
        </is>
      </c>
      <c r="E5" s="10" t="inlineStr">
        <is>
          <t>无货值=黄（报关前绿）</t>
        </is>
      </c>
      <c r="F5" s="11" t="inlineStr">
        <is>
          <t>☐ 未完成</t>
        </is>
      </c>
      <c r="G5" s="11" t="inlineStr">
        <is>
          <t>未评</t>
        </is>
      </c>
      <c r="H5" s="5" t="n"/>
      <c r="I5" s="11" t="n"/>
      <c r="J5" s="11" t="n"/>
      <c r="K5" s="5" t="n"/>
    </row>
    <row r="6" ht="36" customHeight="1">
      <c r="A6" s="9" t="inlineStr">
        <is>
          <t>业务 / PC</t>
        </is>
      </c>
      <c r="B6" s="9" t="inlineStr">
        <is>
          <t>B5</t>
        </is>
      </c>
      <c r="C6" s="10" t="inlineStr">
        <is>
          <t>客户交期是否把出口当国内交期承诺</t>
        </is>
      </c>
      <c r="D6" s="10" t="inlineStr">
        <is>
          <t>未用国内交期锁死出口票</t>
        </is>
      </c>
      <c r="E6" s="10" t="inlineStr">
        <is>
          <t>已锁死国内交期=红</t>
        </is>
      </c>
      <c r="F6" s="11" t="inlineStr">
        <is>
          <t>☐ 未完成</t>
        </is>
      </c>
      <c r="G6" s="11" t="inlineStr">
        <is>
          <t>未评</t>
        </is>
      </c>
      <c r="H6" s="5" t="n"/>
      <c r="I6" s="11" t="n"/>
      <c r="J6" s="11" t="n"/>
      <c r="K6" s="5" t="n"/>
    </row>
    <row r="7" ht="36" customHeight="1">
      <c r="A7" s="9" t="inlineStr">
        <is>
          <t>业务 / PC</t>
        </is>
      </c>
      <c r="B7" s="9" t="inlineStr">
        <is>
          <t>B6</t>
        </is>
      </c>
      <c r="C7" s="10" t="inlineStr">
        <is>
          <t>S1 Export Request Sheet：产品+包装</t>
        </is>
      </c>
      <c r="D7" s="10" t="inlineStr">
        <is>
          <t>已交；出口桶码≠内贸</t>
        </is>
      </c>
      <c r="E7" s="10" t="inlineStr">
        <is>
          <t>未填=红</t>
        </is>
      </c>
      <c r="F7" s="11" t="inlineStr">
        <is>
          <t>☐ 未完成</t>
        </is>
      </c>
      <c r="G7" s="11" t="inlineStr">
        <is>
          <t>未评</t>
        </is>
      </c>
      <c r="H7" s="5" t="n"/>
      <c r="I7" s="11" t="n"/>
      <c r="J7" s="11" t="n"/>
      <c r="K7" s="5" t="n"/>
    </row>
    <row r="8" ht="36" customHeight="1">
      <c r="A8" s="9" t="inlineStr">
        <is>
          <t>业务 / PC</t>
        </is>
      </c>
      <c r="B8" s="9" t="inlineStr">
        <is>
          <t>B7</t>
        </is>
      </c>
      <c r="C8" s="10" t="inlineStr">
        <is>
          <t>客户额外包装/标签/托盘/文件要求</t>
        </is>
      </c>
      <c r="D8" s="10" t="inlineStr">
        <is>
          <t>非标有主责，不默认仓配兜底</t>
        </is>
      </c>
      <c r="E8" s="10" t="inlineStr">
        <is>
          <t>非标无主责=黄</t>
        </is>
      </c>
      <c r="F8" s="11" t="inlineStr">
        <is>
          <t>☐ 未完成</t>
        </is>
      </c>
      <c r="G8" s="11" t="inlineStr">
        <is>
          <t>未评</t>
        </is>
      </c>
      <c r="H8" s="5" t="n"/>
      <c r="I8" s="11" t="n"/>
      <c r="J8" s="11" t="n"/>
      <c r="K8" s="5" t="n"/>
    </row>
    <row r="9" ht="36" customHeight="1">
      <c r="A9" s="12" t="inlineStr">
        <is>
          <t>采购</t>
        </is>
      </c>
      <c r="B9" s="12" t="inlineStr">
        <is>
          <t>P1</t>
        </is>
      </c>
      <c r="C9" s="13" t="inlineStr">
        <is>
          <t>S2 是否已有该料号标准出口包装</t>
        </is>
      </c>
      <c r="D9" s="13" t="inlineStr">
        <is>
          <t>有 S2；新包装默认不推荐</t>
        </is>
      </c>
      <c r="E9" s="13" t="inlineStr">
        <is>
          <t>无 S2 且要新包装=红</t>
        </is>
      </c>
      <c r="F9" s="11" t="inlineStr">
        <is>
          <t>☐ 未完成</t>
        </is>
      </c>
      <c r="G9" s="11" t="inlineStr">
        <is>
          <t>未评</t>
        </is>
      </c>
      <c r="H9" s="5" t="n"/>
      <c r="I9" s="11" t="n"/>
      <c r="J9" s="11" t="n"/>
      <c r="K9" s="5" t="n"/>
    </row>
    <row r="10" ht="36" customHeight="1">
      <c r="A10" s="12" t="inlineStr">
        <is>
          <t>采购</t>
        </is>
      </c>
      <c r="B10" s="12" t="inlineStr">
        <is>
          <t>P2</t>
        </is>
      </c>
      <c r="C10" s="13" t="inlineStr">
        <is>
          <t>S3 性能单抬头是否为独山</t>
        </is>
      </c>
      <c r="D10" s="13" t="inlineStr">
        <is>
          <t>与鉴定/危包证一致；禁止金山抬头出口</t>
        </is>
      </c>
      <c r="E10" s="13" t="inlineStr">
        <is>
          <t>非独山=红</t>
        </is>
      </c>
      <c r="F10" s="11" t="inlineStr">
        <is>
          <t>☐ 未完成</t>
        </is>
      </c>
      <c r="G10" s="11" t="inlineStr">
        <is>
          <t>未评</t>
        </is>
      </c>
      <c r="H10" s="5" t="n"/>
      <c r="I10" s="11" t="n"/>
      <c r="J10" s="11" t="n"/>
      <c r="K10" s="5" t="n"/>
    </row>
    <row r="11" ht="36" customHeight="1">
      <c r="A11" s="12" t="inlineStr">
        <is>
          <t>采购</t>
        </is>
      </c>
      <c r="B11" s="12" t="inlineStr">
        <is>
          <t>P3</t>
        </is>
      </c>
      <c r="C11" s="13" t="inlineStr">
        <is>
          <t>海/空/海+空；性能单是否覆盖该模式</t>
        </is>
      </c>
      <c r="D11" s="13" t="inlineStr">
        <is>
          <t>采购书面适用性声明；海运证不可套空运</t>
        </is>
      </c>
      <c r="E11" s="13" t="inlineStr">
        <is>
          <t>模式未声明=红</t>
        </is>
      </c>
      <c r="F11" s="11" t="inlineStr">
        <is>
          <t>☐ 未完成</t>
        </is>
      </c>
      <c r="G11" s="11" t="inlineStr">
        <is>
          <t>未评</t>
        </is>
      </c>
      <c r="H11" s="5" t="n"/>
      <c r="I11" s="11" t="n"/>
      <c r="J11" s="11" t="n"/>
      <c r="K11" s="5" t="n"/>
    </row>
    <row r="12" ht="36" customHeight="1">
      <c r="A12" s="12" t="inlineStr">
        <is>
          <t>采购</t>
        </is>
      </c>
      <c r="B12" s="12" t="inlineStr">
        <is>
          <t>P4</t>
        </is>
      </c>
      <c r="C12" s="13" t="inlineStr">
        <is>
          <t>铁桶+外箱齐套、UN 与证一致、有效期内</t>
        </is>
      </c>
      <c r="D12" s="13" t="inlineStr">
        <is>
          <t>缺纸箱证不得称齐套</t>
        </is>
      </c>
      <c r="E12" s="13" t="inlineStr">
        <is>
          <t>缺证=红；有补购 ETA=黄</t>
        </is>
      </c>
      <c r="F12" s="11" t="inlineStr">
        <is>
          <t>☐ 未完成</t>
        </is>
      </c>
      <c r="G12" s="11" t="inlineStr">
        <is>
          <t>未评</t>
        </is>
      </c>
      <c r="H12" s="5" t="n"/>
      <c r="I12" s="11" t="n"/>
      <c r="J12" s="11" t="n"/>
      <c r="K12" s="5" t="n"/>
    </row>
    <row r="13" ht="36" customHeight="1">
      <c r="A13" s="12" t="inlineStr">
        <is>
          <t>采购</t>
        </is>
      </c>
      <c r="B13" s="12" t="inlineStr">
        <is>
          <t>P5</t>
        </is>
      </c>
      <c r="C13" s="13" t="inlineStr">
        <is>
          <t>库存是否够本票；补购 ETA</t>
        </is>
      </c>
      <c r="D13" s="13" t="inlineStr">
        <is>
          <t>数量+ETA；到货带 UN+年份</t>
        </is>
      </c>
      <c r="E13" s="13" t="inlineStr">
        <is>
          <t>无 ETA=红</t>
        </is>
      </c>
      <c r="F13" s="11" t="inlineStr">
        <is>
          <t>☐ 未完成</t>
        </is>
      </c>
      <c r="G13" s="11" t="inlineStr">
        <is>
          <t>未评</t>
        </is>
      </c>
      <c r="H13" s="5" t="n"/>
      <c r="I13" s="11" t="n"/>
      <c r="J13" s="11" t="n"/>
      <c r="K13" s="5" t="n"/>
    </row>
    <row r="14" ht="36" customHeight="1">
      <c r="A14" s="12" t="inlineStr">
        <is>
          <t>采购</t>
        </is>
      </c>
      <c r="B14" s="12" t="inlineStr">
        <is>
          <t>P6</t>
        </is>
      </c>
      <c r="C14" s="13" t="inlineStr">
        <is>
          <t>是否 UN 年切换（大口隔离/小口报废）</t>
        </is>
      </c>
      <c r="D14" s="13" t="inlineStr">
        <is>
          <t>已通知仓/生产/计划/出口</t>
        </is>
      </c>
      <c r="E14" s="13" t="inlineStr">
        <is>
          <t>年切换未通知=黄</t>
        </is>
      </c>
      <c r="F14" s="11" t="inlineStr">
        <is>
          <t>☐ 未完成</t>
        </is>
      </c>
      <c r="G14" s="11" t="inlineStr">
        <is>
          <t>未评</t>
        </is>
      </c>
      <c r="H14" s="5" t="n"/>
      <c r="I14" s="11" t="n"/>
      <c r="J14" s="11" t="n"/>
      <c r="K14" s="5" t="n"/>
    </row>
    <row r="15" ht="36" customHeight="1">
      <c r="A15" s="14" t="inlineStr">
        <is>
          <t>Order Clearing</t>
        </is>
      </c>
      <c r="B15" s="14" t="inlineStr">
        <is>
          <t>L1</t>
        </is>
      </c>
      <c r="C15" s="15" t="inlineStr">
        <is>
          <t>SDS 第14章 + 中文件/中文译件</t>
        </is>
      </c>
      <c r="D15" s="15" t="inlineStr">
        <is>
          <t>受控版本与料号一致（129号报检）</t>
        </is>
      </c>
      <c r="E15" s="15" t="inlineStr">
        <is>
          <t>无 SDS=红</t>
        </is>
      </c>
      <c r="F15" s="11" t="inlineStr">
        <is>
          <t>☐ 未完成</t>
        </is>
      </c>
      <c r="G15" s="11" t="inlineStr">
        <is>
          <t>未评</t>
        </is>
      </c>
      <c r="H15" s="5" t="n"/>
      <c r="I15" s="11" t="n"/>
      <c r="J15" s="11" t="n"/>
      <c r="K15" s="5" t="n"/>
    </row>
    <row r="16" ht="36" customHeight="1">
      <c r="A16" s="14" t="inlineStr">
        <is>
          <t>Order Clearing</t>
        </is>
      </c>
      <c r="B16" s="14" t="inlineStr">
        <is>
          <t>L2</t>
        </is>
      </c>
      <c r="C16" s="15" t="inlineStr">
        <is>
          <t>危险公示标签样本（中国出口报检）</t>
        </is>
      </c>
      <c r="D16" s="15" t="inlineStr">
        <is>
          <t>与运输菱形标分层、不混贴</t>
        </is>
      </c>
      <c r="E16" s="15" t="inlineStr">
        <is>
          <t>无样本=黄（报检前绿）</t>
        </is>
      </c>
      <c r="F16" s="11" t="inlineStr">
        <is>
          <t>☐ 未完成</t>
        </is>
      </c>
      <c r="G16" s="11" t="inlineStr">
        <is>
          <t>未评</t>
        </is>
      </c>
      <c r="H16" s="5" t="n"/>
      <c r="I16" s="11" t="n"/>
      <c r="J16" s="11" t="n"/>
      <c r="K16" s="5" t="n"/>
    </row>
    <row r="17" ht="36" customHeight="1">
      <c r="A17" s="14" t="inlineStr">
        <is>
          <t>Order Clearing</t>
        </is>
      </c>
      <c r="B17" s="14" t="inlineStr">
        <is>
          <t>L3</t>
        </is>
      </c>
      <c r="C17" s="15" t="inlineStr">
        <is>
          <t>运输标签只按鉴定+SDS14</t>
        </is>
      </c>
      <c r="D17" s="15" t="inlineStr">
        <is>
          <t>不因 GHS05 自动加 8 类副标</t>
        </is>
      </c>
      <c r="E17" s="15" t="inlineStr">
        <is>
          <t>与鉴定冲突=红</t>
        </is>
      </c>
      <c r="F17" s="11" t="inlineStr">
        <is>
          <t>☐ 未完成</t>
        </is>
      </c>
      <c r="G17" s="11" t="inlineStr">
        <is>
          <t>未评</t>
        </is>
      </c>
      <c r="H17" s="5" t="n"/>
      <c r="I17" s="11" t="n"/>
      <c r="J17" s="11" t="n"/>
      <c r="K17" s="5" t="n"/>
    </row>
    <row r="18" ht="36" customHeight="1">
      <c r="A18" s="16" t="inlineStr">
        <is>
          <t>EHS</t>
        </is>
      </c>
      <c r="B18" s="16" t="inlineStr">
        <is>
          <t>E1</t>
        </is>
      </c>
      <c r="C18" s="17" t="inlineStr">
        <is>
          <t>是否《危险化学品目录》内（如 2828）</t>
        </is>
      </c>
      <c r="D18" s="17" t="inlineStr">
        <is>
          <t>书面是/否；是则走 129 号产地检验</t>
        </is>
      </c>
      <c r="E18" s="17" t="inlineStr">
        <is>
          <t>未判定=红</t>
        </is>
      </c>
      <c r="F18" s="11" t="inlineStr">
        <is>
          <t>☐ 未完成</t>
        </is>
      </c>
      <c r="G18" s="11" t="inlineStr">
        <is>
          <t>未评</t>
        </is>
      </c>
      <c r="H18" s="5" t="n"/>
      <c r="I18" s="11" t="n"/>
      <c r="J18" s="11" t="n"/>
      <c r="K18" s="5" t="n"/>
    </row>
    <row r="19" ht="36" customHeight="1">
      <c r="A19" s="16" t="inlineStr">
        <is>
          <t>EHS</t>
        </is>
      </c>
      <c r="B19" s="16" t="inlineStr">
        <is>
          <t>E2</t>
        </is>
      </c>
      <c r="C19" s="17" t="inlineStr">
        <is>
          <t>分类鉴定有效；UN/类/包装类/副危</t>
        </is>
      </c>
      <c r="D19" s="17" t="inlineStr">
        <is>
          <t>鉴定与 SDS14 一致</t>
        </is>
      </c>
      <c r="E19" s="17" t="inlineStr">
        <is>
          <t>无鉴定或打架=红</t>
        </is>
      </c>
      <c r="F19" s="11" t="inlineStr">
        <is>
          <t>☐ 未完成</t>
        </is>
      </c>
      <c r="G19" s="11" t="inlineStr">
        <is>
          <t>未评</t>
        </is>
      </c>
      <c r="H19" s="5" t="n"/>
      <c r="I19" s="11" t="n"/>
      <c r="J19" s="11" t="n"/>
      <c r="K19" s="5" t="n"/>
    </row>
    <row r="20" ht="36" customHeight="1">
      <c r="A20" s="16" t="inlineStr">
        <is>
          <t>EHS</t>
        </is>
      </c>
      <c r="B20" s="16" t="inlineStr">
        <is>
          <t>E3</t>
        </is>
      </c>
      <c r="C20" s="17" t="inlineStr">
        <is>
          <t>易制毒/易制爆/监控化学品/两用物项</t>
        </is>
      </c>
      <c r="D20" s="17" t="inlineStr">
        <is>
          <t>否，或中国出口许可已启动</t>
        </is>
      </c>
      <c r="E20" s="17" t="inlineStr">
        <is>
          <t>疑似未升级=红</t>
        </is>
      </c>
      <c r="F20" s="11" t="inlineStr">
        <is>
          <t>☐ 未完成</t>
        </is>
      </c>
      <c r="G20" s="11" t="inlineStr">
        <is>
          <t>未评</t>
        </is>
      </c>
      <c r="H20" s="5" t="n"/>
      <c r="I20" s="11" t="n"/>
      <c r="J20" s="11" t="n"/>
      <c r="K20" s="5" t="n"/>
    </row>
    <row r="21" ht="36" customHeight="1">
      <c r="A21" s="16" t="inlineStr">
        <is>
          <t>EHS</t>
        </is>
      </c>
      <c r="B21" s="16" t="inlineStr">
        <is>
          <t>E4</t>
        </is>
      </c>
      <c r="C21" s="17" t="inlineStr">
        <is>
          <t>抑制剂/稳定剂及报检说明</t>
        </is>
      </c>
      <c r="D21" s="17" t="inlineStr">
        <is>
          <t>不需要，或名称数量可报检</t>
        </is>
      </c>
      <c r="E21" s="17" t="inlineStr">
        <is>
          <t>应加未说明=红</t>
        </is>
      </c>
      <c r="F21" s="11" t="inlineStr">
        <is>
          <t>☐ 未完成</t>
        </is>
      </c>
      <c r="G21" s="11" t="inlineStr">
        <is>
          <t>未评</t>
        </is>
      </c>
      <c r="H21" s="5" t="n"/>
      <c r="I21" s="11" t="n"/>
      <c r="J21" s="11" t="n"/>
      <c r="K21" s="5" t="n"/>
    </row>
    <row r="22" ht="36" customHeight="1">
      <c r="A22" s="16" t="inlineStr">
        <is>
          <t>EHS</t>
        </is>
      </c>
      <c r="B22" s="16" t="inlineStr">
        <is>
          <t>E5</t>
        </is>
      </c>
      <c r="C22" s="17" t="inlineStr">
        <is>
          <t>目的国 REACH/CLP/ADR</t>
        </is>
      </c>
      <c r="D22" s="17" t="inlineStr">
        <is>
          <t>本阶段跳过：先出国门</t>
        </is>
      </c>
      <c r="E22" s="17" t="inlineStr">
        <is>
          <t>不适用</t>
        </is>
      </c>
      <c r="F22" s="11" t="inlineStr">
        <is>
          <t>— 不适用</t>
        </is>
      </c>
      <c r="G22" s="11" t="inlineStr">
        <is>
          <t>不适用</t>
        </is>
      </c>
      <c r="H22" s="5" t="n"/>
      <c r="I22" s="11" t="n"/>
      <c r="J22" s="11" t="n"/>
      <c r="K22" s="5" t="n"/>
    </row>
    <row r="23" ht="36" customHeight="1">
      <c r="A23" s="18" t="inlineStr">
        <is>
          <t>实验室</t>
        </is>
      </c>
      <c r="B23" s="18" t="inlineStr">
        <is>
          <t>R1</t>
        </is>
      </c>
      <c r="C23" s="19" t="inlineStr">
        <is>
          <t>粘度/密度/组成（包装选型）</t>
        </is>
      </c>
      <c r="D23" s="19" t="inlineStr">
        <is>
          <t>已提供或有承诺日期</t>
        </is>
      </c>
      <c r="E23" s="19" t="inlineStr">
        <is>
          <t>选包装前缺失=黄</t>
        </is>
      </c>
      <c r="F23" s="11" t="inlineStr">
        <is>
          <t>☐ 未完成</t>
        </is>
      </c>
      <c r="G23" s="11" t="inlineStr">
        <is>
          <t>未评</t>
        </is>
      </c>
      <c r="H23" s="5" t="n"/>
      <c r="I23" s="11" t="n"/>
      <c r="J23" s="11" t="n"/>
      <c r="K23" s="5" t="n"/>
    </row>
    <row r="24" ht="36" customHeight="1">
      <c r="A24" s="18" t="inlineStr">
        <is>
          <t>实验室</t>
        </is>
      </c>
      <c r="B24" s="18" t="inlineStr">
        <is>
          <t>R2</t>
        </is>
      </c>
      <c r="C24" s="19" t="inlineStr">
        <is>
          <t>内容物–包装相容性</t>
        </is>
      </c>
      <c r="D24" s="19" t="inlineStr">
        <is>
          <t>仅海关要求时做；未要求=不适用</t>
        </is>
      </c>
      <c r="E24" s="19" t="inlineStr">
        <is>
          <t>海关已要求且无计划=红</t>
        </is>
      </c>
      <c r="F24" s="11" t="inlineStr">
        <is>
          <t>☐ 未完成</t>
        </is>
      </c>
      <c r="G24" s="11" t="inlineStr">
        <is>
          <t>未评</t>
        </is>
      </c>
      <c r="H24" s="5" t="n"/>
      <c r="I24" s="11" t="n"/>
      <c r="J24" s="11" t="n"/>
      <c r="K24" s="5" t="n"/>
    </row>
    <row r="25" ht="36" customHeight="1">
      <c r="A25" s="18" t="inlineStr">
        <is>
          <t>实验室</t>
        </is>
      </c>
      <c r="B25" s="18" t="inlineStr">
        <is>
          <t>R3</t>
        </is>
      </c>
      <c r="C25" s="19" t="inlineStr">
        <is>
          <t>出口 13 位码</t>
        </is>
      </c>
      <c r="D25" s="19" t="inlineStr">
        <is>
          <t>与内贸码区分</t>
        </is>
      </c>
      <c r="E25" s="19" t="inlineStr">
        <is>
          <t>未申请阻塞灌装=黄</t>
        </is>
      </c>
      <c r="F25" s="11" t="inlineStr">
        <is>
          <t>☐ 未完成</t>
        </is>
      </c>
      <c r="G25" s="11" t="inlineStr">
        <is>
          <t>未评</t>
        </is>
      </c>
      <c r="H25" s="5" t="n"/>
      <c r="I25" s="11" t="n"/>
      <c r="J25" s="11" t="n"/>
      <c r="K25" s="5" t="n"/>
    </row>
    <row r="26" ht="36" customHeight="1">
      <c r="A26" s="9" t="inlineStr">
        <is>
          <t>计划 MP</t>
        </is>
      </c>
      <c r="B26" s="9" t="inlineStr">
        <is>
          <t>M1</t>
        </is>
      </c>
      <c r="C26" s="10" t="inlineStr">
        <is>
          <t>是否该国首出口</t>
        </is>
      </c>
      <c r="D26" s="10" t="inlineStr">
        <is>
          <t>是/否已标记。缓冲天数待整厂流程图</t>
        </is>
      </c>
      <c r="E26" s="10" t="inlineStr">
        <is>
          <t>未判定=红；已标记待天数=黄</t>
        </is>
      </c>
      <c r="F26" s="11" t="inlineStr">
        <is>
          <t>☐ 未完成</t>
        </is>
      </c>
      <c r="G26" s="11" t="inlineStr">
        <is>
          <t>未评</t>
        </is>
      </c>
      <c r="H26" s="5" t="n"/>
      <c r="I26" s="11" t="n"/>
      <c r="J26" s="11" t="n"/>
      <c r="K26" s="5" t="n"/>
    </row>
    <row r="27" ht="36" customHeight="1">
      <c r="A27" s="9" t="inlineStr">
        <is>
          <t>计划 MP</t>
        </is>
      </c>
      <c r="B27" s="9" t="inlineStr">
        <is>
          <t>M2</t>
        </is>
      </c>
      <c r="C27" s="10" t="inlineStr">
        <is>
          <t>Filling Order 出口桶码 ≠ 内贸</t>
        </is>
      </c>
      <c r="D27" s="10" t="inlineStr">
        <is>
          <t>系统码已分开</t>
        </is>
      </c>
      <c r="E27" s="10" t="inlineStr">
        <is>
          <t>混码=红</t>
        </is>
      </c>
      <c r="F27" s="11" t="inlineStr">
        <is>
          <t>☐ 未完成</t>
        </is>
      </c>
      <c r="G27" s="11" t="inlineStr">
        <is>
          <t>未评</t>
        </is>
      </c>
      <c r="H27" s="5" t="n"/>
      <c r="I27" s="11" t="n"/>
      <c r="J27" s="11" t="n"/>
      <c r="K27" s="5" t="n"/>
    </row>
    <row r="28" ht="36" customHeight="1">
      <c r="A28" s="9" t="inlineStr">
        <is>
          <t>计划 MP</t>
        </is>
      </c>
      <c r="B28" s="9" t="inlineStr">
        <is>
          <t>M3</t>
        </is>
      </c>
      <c r="C28" s="10" t="inlineStr">
        <is>
          <t>排产 vs 包装到货 vs 灌装日 vs 使用鉴定有效期</t>
        </is>
      </c>
      <c r="D28" s="10" t="inlineStr">
        <is>
          <t>灌装日落在证有效期内</t>
        </is>
      </c>
      <c r="E28" s="10" t="inlineStr">
        <is>
          <t>对不上=黄</t>
        </is>
      </c>
      <c r="F28" s="11" t="inlineStr">
        <is>
          <t>☐ 未完成</t>
        </is>
      </c>
      <c r="G28" s="11" t="inlineStr">
        <is>
          <t>未评</t>
        </is>
      </c>
      <c r="H28" s="5" t="n"/>
      <c r="I28" s="11" t="n"/>
      <c r="J28" s="11" t="n"/>
      <c r="K28" s="5" t="n"/>
    </row>
    <row r="29" ht="36" customHeight="1">
      <c r="A29" s="9" t="inlineStr">
        <is>
          <t>计划 MP</t>
        </is>
      </c>
      <c r="B29" s="9" t="inlineStr">
        <is>
          <t>M4</t>
        </is>
      </c>
      <c r="C29" s="10" t="inlineStr">
        <is>
          <t>固化剂/稀释剂同期可供、分票规则</t>
        </is>
      </c>
      <c r="D29" s="10" t="inlineStr">
        <is>
          <t>分票身份各自绿</t>
        </is>
      </c>
      <c r="E29" s="10" t="inlineStr">
        <is>
          <t>主剂绿配套红=黄</t>
        </is>
      </c>
      <c r="F29" s="11" t="inlineStr">
        <is>
          <t>☐ 未完成</t>
        </is>
      </c>
      <c r="G29" s="11" t="inlineStr">
        <is>
          <t>未评</t>
        </is>
      </c>
      <c r="H29" s="5" t="n"/>
      <c r="I29" s="11" t="n"/>
      <c r="J29" s="11" t="n"/>
      <c r="K29" s="5" t="n"/>
    </row>
    <row r="30" ht="36" customHeight="1">
      <c r="A30" s="20" t="inlineStr">
        <is>
          <t>生产 &amp; QC</t>
        </is>
      </c>
      <c r="B30" s="20" t="inlineStr">
        <is>
          <t>Q1</t>
        </is>
      </c>
      <c r="C30" s="21" t="inlineStr">
        <is>
          <t>罐装单带 UN、现场按单取桶</t>
        </is>
      </c>
      <c r="D30" s="21" t="inlineStr">
        <is>
          <t>知悉出口桶≠内贸桶</t>
        </is>
      </c>
      <c r="E30" s="21" t="inlineStr">
        <is>
          <t>未知=黄（排产前须绿）</t>
        </is>
      </c>
      <c r="F30" s="11" t="inlineStr">
        <is>
          <t>☐ 未完成</t>
        </is>
      </c>
      <c r="G30" s="11" t="inlineStr">
        <is>
          <t>未评</t>
        </is>
      </c>
      <c r="H30" s="5" t="n"/>
      <c r="I30" s="11" t="n"/>
      <c r="J30" s="11" t="n"/>
      <c r="K30" s="5" t="n"/>
    </row>
    <row r="31" ht="36" customHeight="1">
      <c r="A31" s="20" t="inlineStr">
        <is>
          <t>生产 &amp; QC</t>
        </is>
      </c>
      <c r="B31" s="20" t="inlineStr">
        <is>
          <t>Q2</t>
        </is>
      </c>
      <c r="C31" s="21" t="inlineStr">
        <is>
          <t>SAP 生产日期精确到日</t>
        </is>
      </c>
      <c r="D31" s="21" t="inlineStr">
        <is>
          <t>QC 确认可做到</t>
        </is>
      </c>
      <c r="E31" s="21" t="inlineStr">
        <is>
          <t>只能到月=红</t>
        </is>
      </c>
      <c r="F31" s="11" t="inlineStr">
        <is>
          <t>☐ 未完成</t>
        </is>
      </c>
      <c r="G31" s="11" t="inlineStr">
        <is>
          <t>未评</t>
        </is>
      </c>
      <c r="H31" s="5" t="n"/>
      <c r="I31" s="11" t="n"/>
      <c r="J31" s="11" t="n"/>
      <c r="K31" s="5" t="n"/>
    </row>
    <row r="32" ht="36" customHeight="1">
      <c r="A32" s="20" t="inlineStr">
        <is>
          <t>生产 &amp; QC</t>
        </is>
      </c>
      <c r="B32" s="20" t="inlineStr">
        <is>
          <t>Q3</t>
        </is>
      </c>
      <c r="C32" s="21" t="inlineStr">
        <is>
          <t>小口年切换旧包装报废可执行</t>
        </is>
      </c>
      <c r="D32" s="21" t="inlineStr">
        <is>
          <t>与采购通知一致</t>
        </is>
      </c>
      <c r="E32" s="21" t="inlineStr">
        <is>
          <t>未对齐=黄</t>
        </is>
      </c>
      <c r="F32" s="11" t="inlineStr">
        <is>
          <t>☐ 未完成</t>
        </is>
      </c>
      <c r="G32" s="11" t="inlineStr">
        <is>
          <t>未评</t>
        </is>
      </c>
      <c r="H32" s="5" t="n"/>
      <c r="I32" s="11" t="n"/>
      <c r="J32" s="11" t="n"/>
      <c r="K32" s="5" t="n"/>
    </row>
    <row r="33" ht="36" customHeight="1">
      <c r="A33" s="22" t="inlineStr">
        <is>
          <t>仓库</t>
        </is>
      </c>
      <c r="B33" s="22" t="inlineStr">
        <is>
          <t>W1</t>
        </is>
      </c>
      <c r="C33" s="23" t="inlineStr">
        <is>
          <t>UN 包装收货核对 UN+年份、与性能单一致</t>
        </is>
      </c>
      <c r="D33" s="23" t="inlineStr">
        <is>
          <t>有核对标准，异常退采购</t>
        </is>
      </c>
      <c r="E33" s="23" t="inlineStr">
        <is>
          <t>无核对习惯=黄</t>
        </is>
      </c>
      <c r="F33" s="11" t="inlineStr">
        <is>
          <t>☐ 未完成</t>
        </is>
      </c>
      <c r="G33" s="11" t="inlineStr">
        <is>
          <t>未评</t>
        </is>
      </c>
      <c r="H33" s="5" t="n"/>
      <c r="I33" s="11" t="n"/>
      <c r="J33" s="11" t="n"/>
      <c r="K33" s="5" t="n"/>
    </row>
    <row r="34" ht="36" customHeight="1">
      <c r="A34" s="22" t="inlineStr">
        <is>
          <t>仓库</t>
        </is>
      </c>
      <c r="B34" s="22" t="inlineStr">
        <is>
          <t>W2</t>
        </is>
      </c>
      <c r="C34" s="23" t="inlineStr">
        <is>
          <t>年切换大口新盖隔离（新盖→3号仓）</t>
        </is>
      </c>
      <c r="D34" s="23" t="inlineStr">
        <is>
          <t>仓知隔离位置</t>
        </is>
      </c>
      <c r="E34" s="23" t="inlineStr">
        <is>
          <t>年切换票未知=黄</t>
        </is>
      </c>
      <c r="F34" s="11" t="inlineStr">
        <is>
          <t>☐ 未完成</t>
        </is>
      </c>
      <c r="G34" s="11" t="inlineStr">
        <is>
          <t>未评</t>
        </is>
      </c>
      <c r="H34" s="5" t="n"/>
      <c r="I34" s="11" t="n"/>
      <c r="J34" s="11" t="n"/>
      <c r="K34" s="5" t="n"/>
    </row>
    <row r="35" ht="36" customHeight="1">
      <c r="A35" s="22" t="inlineStr">
        <is>
          <t>仓库</t>
        </is>
      </c>
      <c r="B35" s="22" t="inlineStr">
        <is>
          <t>W3</t>
        </is>
      </c>
      <c r="C35" s="23" t="inlineStr">
        <is>
          <t>出口货与内贸货可分</t>
        </is>
      </c>
      <c r="D35" s="23" t="inlineStr">
        <is>
          <t>不混放、不混贴</t>
        </is>
      </c>
      <c r="E35" s="23" t="inlineStr">
        <is>
          <t>无区分=黄</t>
        </is>
      </c>
      <c r="F35" s="11" t="inlineStr">
        <is>
          <t>☐ 未完成</t>
        </is>
      </c>
      <c r="G35" s="11" t="inlineStr">
        <is>
          <t>未评</t>
        </is>
      </c>
      <c r="H35" s="5" t="n"/>
      <c r="I35" s="11" t="n"/>
      <c r="J35" s="11" t="n"/>
      <c r="K35" s="5" t="n"/>
    </row>
    <row r="36" ht="36" customHeight="1">
      <c r="A36" s="22" t="inlineStr">
        <is>
          <t>仓库</t>
        </is>
      </c>
      <c r="B36" s="22" t="inlineStr">
        <is>
          <t>W4</t>
        </is>
      </c>
      <c r="C36" s="23" t="inlineStr">
        <is>
          <t>出库谁贴运输标 vs GHS 标</t>
        </is>
      </c>
      <c r="D36" s="23" t="inlineStr">
        <is>
          <t>与 Order Clearing 一致</t>
        </is>
      </c>
      <c r="E36" s="23" t="inlineStr">
        <is>
          <t>谁贴未定=黄</t>
        </is>
      </c>
      <c r="F36" s="11" t="inlineStr">
        <is>
          <t>☐ 未完成</t>
        </is>
      </c>
      <c r="G36" s="11" t="inlineStr">
        <is>
          <t>未评</t>
        </is>
      </c>
      <c r="H36" s="5" t="n"/>
      <c r="I36" s="11" t="n"/>
      <c r="J36" s="11" t="n"/>
      <c r="K36" s="5" t="n"/>
    </row>
    <row r="37" ht="36" customHeight="1">
      <c r="A37" s="24" t="inlineStr">
        <is>
          <t>进出口</t>
        </is>
      </c>
      <c r="B37" s="24" t="inlineStr">
        <is>
          <t>I1</t>
        </is>
      </c>
      <c r="C37" s="25" t="inlineStr">
        <is>
          <t>危化品产地检验（129号）路径是否清楚</t>
        </is>
      </c>
      <c r="D37" s="25" t="inlineStr">
        <is>
          <t>知报检、符合性声明、电子底账</t>
        </is>
      </c>
      <c r="E37" s="25" t="inlineStr">
        <is>
          <t>危化品未定路径=红</t>
        </is>
      </c>
      <c r="F37" s="11" t="inlineStr">
        <is>
          <t>☐ 未完成</t>
        </is>
      </c>
      <c r="G37" s="11" t="inlineStr">
        <is>
          <t>未评</t>
        </is>
      </c>
      <c r="H37" s="5" t="n"/>
      <c r="I37" s="11" t="n"/>
      <c r="J37" s="11" t="n"/>
      <c r="K37" s="5" t="n"/>
    </row>
    <row r="38" ht="36" customHeight="1">
      <c r="A38" s="24" t="inlineStr">
        <is>
          <t>进出口</t>
        </is>
      </c>
      <c r="B38" s="24" t="inlineStr">
        <is>
          <t>I2</t>
        </is>
      </c>
      <c r="C38" s="25" t="inlineStr">
        <is>
          <t>使用鉴定申请窗口与齐套资料</t>
        </is>
      </c>
      <c r="D38" s="25" t="inlineStr">
        <is>
          <t>性能单+鉴定+SDS 对独山抬头</t>
        </is>
      </c>
      <c r="E38" s="25" t="inlineStr">
        <is>
          <t>不知如何办证=黄</t>
        </is>
      </c>
      <c r="F38" s="11" t="inlineStr">
        <is>
          <t>☐ 未完成</t>
        </is>
      </c>
      <c r="G38" s="11" t="inlineStr">
        <is>
          <t>未评</t>
        </is>
      </c>
      <c r="H38" s="5" t="n"/>
      <c r="I38" s="11" t="n"/>
      <c r="J38" s="11" t="n"/>
      <c r="K38" s="5" t="n"/>
    </row>
    <row r="39" ht="36" customHeight="1">
      <c r="A39" s="24" t="inlineStr">
        <is>
          <t>进出口</t>
        </is>
      </c>
      <c r="B39" s="24" t="inlineStr">
        <is>
          <t>I3</t>
        </is>
      </c>
      <c r="C39" s="25" t="inlineStr">
        <is>
          <t>海运海事 vs 空运 DGD 差异已知</t>
        </is>
      </c>
      <c r="D39" s="25" t="inlineStr">
        <is>
          <t>不把海运证当空运用</t>
        </is>
      </c>
      <c r="E39" s="25" t="inlineStr">
        <is>
          <t>模式不清=红</t>
        </is>
      </c>
      <c r="F39" s="11" t="inlineStr">
        <is>
          <t>☐ 未完成</t>
        </is>
      </c>
      <c r="G39" s="11" t="inlineStr">
        <is>
          <t>未评</t>
        </is>
      </c>
      <c r="H39" s="5" t="n"/>
      <c r="I39" s="11" t="n"/>
      <c r="J39" s="11" t="n"/>
      <c r="K39" s="5" t="n"/>
    </row>
    <row r="40" ht="36" customHeight="1">
      <c r="A40" s="26" t="inlineStr">
        <is>
          <t>财务</t>
        </is>
      </c>
      <c r="B40" s="26" t="inlineStr">
        <is>
          <t>F1</t>
        </is>
      </c>
      <c r="C40" s="27" t="inlineStr">
        <is>
          <t>发票抬头、币种（报关用）</t>
        </is>
      </c>
      <c r="D40" s="27" t="inlineStr">
        <is>
          <t>与拟报关路径一致</t>
        </is>
      </c>
      <c r="E40" s="27" t="inlineStr">
        <is>
          <t>未定=黄（报关前红）</t>
        </is>
      </c>
      <c r="F40" s="11" t="inlineStr">
        <is>
          <t>☐ 未完成</t>
        </is>
      </c>
      <c r="G40" s="11" t="inlineStr">
        <is>
          <t>未评</t>
        </is>
      </c>
      <c r="H40" s="5" t="n"/>
      <c r="I40" s="11" t="n"/>
      <c r="J40" s="11" t="n"/>
      <c r="K40" s="5" t="n"/>
    </row>
    <row r="41" ht="36" customHeight="1">
      <c r="A41" s="26" t="inlineStr">
        <is>
          <t>财务</t>
        </is>
      </c>
      <c r="B41" s="26" t="inlineStr">
        <is>
          <t>F2</t>
        </is>
      </c>
      <c r="C41" s="27" t="inlineStr">
        <is>
          <t>运费/保险谁付（相对 Incoterms）</t>
        </is>
      </c>
      <c r="D41" s="27" t="inlineStr">
        <is>
          <t>与 B2 一致</t>
        </is>
      </c>
      <c r="E41" s="27" t="inlineStr">
        <is>
          <t>与业务不一致=红</t>
        </is>
      </c>
      <c r="F41" s="11" t="inlineStr">
        <is>
          <t>☐ 未完成</t>
        </is>
      </c>
      <c r="G41" s="11" t="inlineStr">
        <is>
          <t>未评</t>
        </is>
      </c>
      <c r="H41" s="5" t="n"/>
      <c r="I41" s="11" t="n"/>
      <c r="J41" s="11" t="n"/>
      <c r="K41" s="5" t="n"/>
    </row>
    <row r="42" ht="36" customHeight="1">
      <c r="A42" s="26" t="inlineStr">
        <is>
          <t>财务</t>
        </is>
      </c>
      <c r="B42" s="26" t="inlineStr">
        <is>
          <t>F3</t>
        </is>
      </c>
      <c r="C42" s="27" t="inlineStr">
        <is>
          <t>目的国进口商 / EORI / 境外 VAT</t>
        </is>
      </c>
      <c r="D42" s="27" t="inlineStr">
        <is>
          <t>本阶段跳过：先出国门</t>
        </is>
      </c>
      <c r="E42" s="27" t="inlineStr">
        <is>
          <t>不适用</t>
        </is>
      </c>
      <c r="F42" s="11" t="inlineStr">
        <is>
          <t>— 不适用</t>
        </is>
      </c>
      <c r="G42" s="11" t="inlineStr">
        <is>
          <t>不适用</t>
        </is>
      </c>
      <c r="H42" s="5" t="n"/>
      <c r="I42" s="11" t="n"/>
      <c r="J42" s="11" t="n"/>
      <c r="K42" s="5" t="n"/>
    </row>
  </sheetData>
  <autoFilter ref="A1:K42"/>
  <conditionalFormatting sqref="G2:G42">
    <cfRule type="cellIs" priority="1" operator="equal" dxfId="0">
      <formula>"绿"</formula>
    </cfRule>
    <cfRule type="cellIs" priority="2" operator="equal" dxfId="1">
      <formula>"黄"</formula>
    </cfRule>
    <cfRule type="cellIs" priority="3" operator="equal" dxfId="2">
      <formula>"红"</formula>
    </cfRule>
    <cfRule type="cellIs" priority="4" operator="equal" dxfId="3">
      <formula>"不适用"</formula>
    </cfRule>
  </conditionalFormatting>
  <dataValidations count="2">
    <dataValidation sqref="F2:F42" showDropDown="0" showInputMessage="0" showErrorMessage="0" allowBlank="1" errorTitle="勾选" error="请从下拉选择" promptTitle="完成" prompt="勾选完成状态" type="list">
      <formula1>"☐ 未完成,☑ 已完成,— 不适用"</formula1>
    </dataValidation>
    <dataValidation sqref="G2:G42" showDropDown="0" showInputMessage="0" showErrorMessage="0" allowBlank="1" errorTitle="灯" error="请从下拉选择灯" type="list">
      <formula1>"未评,绿,黄,红,不适用"</formula1>
    </dataValidation>
  </dataValidations>
  <pageMargins left="0.75" right="0.75" top="1" bottom="1" header="0.5" footer="0.5"/>
  <pageSetup orientation="landscape" paperSize="9" fitToHeight="0" fitToWidth="1"/>
  <headerFooter>
    <oddHeader>&amp;L出口 Initiate Checklist&amp;R独山抬头｜先出国门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7950B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本票灯统计（自动）</t>
        </is>
      </c>
    </row>
    <row r="3">
      <c r="A3" s="3" t="inlineStr">
        <is>
          <t>指标</t>
        </is>
      </c>
      <c r="B3" s="3" t="inlineStr">
        <is>
          <t>值</t>
        </is>
      </c>
    </row>
    <row r="4" ht="22" customHeight="1">
      <c r="A4" s="28" t="inlineStr">
        <is>
          <t>总条数</t>
        </is>
      </c>
      <c r="B4" s="5">
        <f>COUNTA(检查清单!B2:B42)</f>
        <v/>
      </c>
    </row>
    <row r="5" ht="22" customHeight="1">
      <c r="A5" s="28" t="inlineStr">
        <is>
          <t>已完成（☑）</t>
        </is>
      </c>
      <c r="B5" s="5">
        <f>COUNTIF(检查清单!F2:F42,"☑ 已完成")</f>
        <v/>
      </c>
    </row>
    <row r="6" ht="22" customHeight="1">
      <c r="A6" s="28" t="inlineStr">
        <is>
          <t>未完成</t>
        </is>
      </c>
      <c r="B6" s="5">
        <f>COUNTIF(检查清单!F2:F42,"☐ 未完成")</f>
        <v/>
      </c>
    </row>
    <row r="7" ht="22" customHeight="1">
      <c r="A7" s="28" t="inlineStr">
        <is>
          <t>灯=不适用</t>
        </is>
      </c>
      <c r="B7" s="5">
        <f>COUNTIF(检查清单!G2:G42,"不适用")</f>
        <v/>
      </c>
    </row>
    <row r="8" ht="22" customHeight="1">
      <c r="A8" s="28" t="inlineStr">
        <is>
          <t>绿灯</t>
        </is>
      </c>
      <c r="B8" s="5">
        <f>COUNTIF(检查清单!G2:G42,"绿")</f>
        <v/>
      </c>
    </row>
    <row r="9" ht="22" customHeight="1">
      <c r="A9" s="28" t="inlineStr">
        <is>
          <t>黄灯</t>
        </is>
      </c>
      <c r="B9" s="5">
        <f>COUNTIF(检查清单!G2:G42,"黄")</f>
        <v/>
      </c>
    </row>
    <row r="10" ht="22" customHeight="1">
      <c r="A10" s="28" t="inlineStr">
        <is>
          <t>红灯</t>
        </is>
      </c>
      <c r="B10" s="29">
        <f>COUNTIF(检查清单!G2:G42,"红")</f>
        <v/>
      </c>
    </row>
    <row r="11" ht="22" customHeight="1">
      <c r="A11" s="28" t="inlineStr">
        <is>
          <t>未评</t>
        </is>
      </c>
      <c r="B11" s="5">
        <f>COUNTIF(检查清单!G2:G42,"未评")</f>
        <v/>
      </c>
    </row>
    <row r="12" ht="22" customHeight="1">
      <c r="A12" s="28" t="inlineStr">
        <is>
          <t>是否可进 Filling Order</t>
        </is>
      </c>
      <c r="B12" s="5">
        <f>IF(B10&gt;0,"否：有红灯，停排产","出口部门再在票头勾选放行")</f>
        <v/>
      </c>
    </row>
    <row r="15">
      <c r="A15" s="30" t="inlineStr">
        <is>
          <t>说明：统计用 COUNTIF，打开 Excel 后即可计算。有任意红灯则不可进 Filling Order；无红灯仍须出口部门在票头勾放行。</t>
        </is>
      </c>
    </row>
    <row r="16"/>
  </sheetData>
  <mergeCells count="2">
    <mergeCell ref="A15:B16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Mankiewicz China Logistics</dc:creator>
  <dc:title>出口 Initiate 跨部门 Checklist</dc:title>
  <dcterms:created xsi:type="dcterms:W3CDTF">2026-09-03T06:33:03Z</dcterms:created>
  <dcterms:modified xsi:type="dcterms:W3CDTF">2026-09-03T06:33:03Z</dcterms:modified>
</cp:coreProperties>
</file>