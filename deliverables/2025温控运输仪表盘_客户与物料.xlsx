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盘" sheetId="1" state="visible" r:id="rId1"/>
    <sheet xmlns:r="http://schemas.openxmlformats.org/officeDocument/2006/relationships" name="客户_按净重" sheetId="2" state="visible" r:id="rId2"/>
    <sheet xmlns:r="http://schemas.openxmlformats.org/officeDocument/2006/relationships" name="客户_按运费" sheetId="3" state="visible" r:id="rId3"/>
    <sheet xmlns:r="http://schemas.openxmlformats.org/officeDocument/2006/relationships" name="物料_按净重" sheetId="4" state="visible" r:id="rId4"/>
    <sheet xmlns:r="http://schemas.openxmlformats.org/officeDocument/2006/relationships" name="口径与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i val="1"/>
      <color rgb="00C00000"/>
      <sz val="9"/>
    </font>
    <font>
      <name val="微软雅黑"/>
      <b val="1"/>
      <color rgb="001F4E79"/>
      <sz val="13"/>
    </font>
    <font>
      <name val="微软雅黑"/>
      <color rgb="00666666"/>
      <sz val="9"/>
    </font>
    <font>
      <name val="微软雅黑"/>
      <b val="1"/>
      <color rgb="001F4E79"/>
      <sz val="16"/>
    </font>
    <font>
      <name val="微软雅黑"/>
      <sz val="10"/>
    </font>
    <font>
      <name val="微软雅黑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10" fontId="6" fillId="4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1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净重按温控类型</a:t>
            </a:r>
          </a:p>
        </rich>
      </tx>
    </title>
    <plotArea>
      <pieChart>
        <varyColors val="1"/>
        <ser>
          <idx val="0"/>
          <order val="0"/>
          <tx>
            <strRef>
              <f>'仪表盘'!B16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'仪表盘'!$A$17:$A$18</f>
            </numRef>
          </cat>
          <val>
            <numRef>
              <f>'仪表盘'!$B$17:$B$18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Top10 客户净重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'仪表盘'!D21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'仪表盘'!$B$22:$B$31</f>
            </numRef>
          </cat>
          <val>
            <numRef>
              <f>'仪表盘'!$D$22:$D$31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Top10 客户运费 (RMB)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'仪表盘'!D35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'仪表盘'!$B$36:$B$45</f>
            </numRef>
          </cat>
          <val>
            <numRef>
              <f>'仪表盘'!$D$36:$D$45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Top10 物料净重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'仪表盘'!C49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'仪表盘'!$B$50:$B$59</f>
            </numRef>
          </cat>
          <val>
            <numRef>
              <f>'仪表盘'!$C$50:$C$59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客户净重 Top25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'客户_按净重'!E4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'客户_按净重'!$B$5:$B$29</f>
            </numRef>
          </cat>
          <val>
            <numRef>
              <f>'客户_按净重'!$E$5:$E$29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客户运费 Top20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'客户_按运费'!D4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'客户_按运费'!$B$5:$B$24</f>
            </numRef>
          </cat>
          <val>
            <numRef>
              <f>'客户_按运费'!$D$5:$D$24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物料净重 Top20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'物料_按净重'!F4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'物料_按净重'!$B$5:$B$24</f>
            </numRef>
          </cat>
          <val>
            <numRef>
              <f>'物料_按净重'!$F$5:$F$24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47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28" customWidth="1" min="6" max="6"/>
    <col width="12" customWidth="1" min="7" max="7"/>
    <col width="12" customWidth="1" min="8" max="8"/>
  </cols>
  <sheetData>
    <row r="1" ht="28" customHeight="1">
      <c r="A1" s="1" t="inlineStr">
        <is>
          <t>2025 温控运输仪表盘（客户 × 物料）</t>
        </is>
      </c>
    </row>
    <row r="2">
      <c r="A2" s="2" t="inlineStr">
        <is>
          <t>数据范围：2025-10-10 ~ 2025-12-30（约Q4，非全年）｜来源：Notion 2025TCTRansport.csv｜运费按Delivery去重</t>
        </is>
      </c>
    </row>
    <row r="3">
      <c r="A3" s="3" t="inlineStr">
        <is>
          <t>核心KPI</t>
        </is>
      </c>
    </row>
    <row r="4">
      <c r="A4" s="4" t="inlineStr">
        <is>
          <t>物料行</t>
        </is>
      </c>
      <c r="B4" s="4" t="inlineStr">
        <is>
          <t>运单Delivery</t>
        </is>
      </c>
      <c r="C4" s="4" t="inlineStr">
        <is>
          <t>客户数</t>
        </is>
      </c>
      <c r="D4" s="4" t="inlineStr">
        <is>
          <t>物料号数</t>
        </is>
      </c>
      <c r="E4" s="4" t="inlineStr">
        <is>
          <t>净重合计 KG</t>
        </is>
      </c>
      <c r="F4" s="4" t="inlineStr">
        <is>
          <t>运费合计 RMB</t>
        </is>
      </c>
    </row>
    <row r="5" ht="30" customHeight="1">
      <c r="A5" s="5" t="n">
        <v>2787</v>
      </c>
      <c r="B5" s="5" t="n">
        <v>1391</v>
      </c>
      <c r="C5" s="5" t="n">
        <v>177</v>
      </c>
      <c r="D5" s="5" t="n">
        <v>421</v>
      </c>
      <c r="E5" s="5" t="n">
        <v>536217.13</v>
      </c>
      <c r="F5" s="6" t="n">
        <v>6567067</v>
      </c>
    </row>
    <row r="7">
      <c r="A7" s="3" t="inlineStr">
        <is>
          <t>关键洞察</t>
        </is>
      </c>
    </row>
    <row r="8">
      <c r="A8" s="7" t="inlineStr">
        <is>
          <t>1. 温控货量以35℃档为主（约84%净重）；30℃档约16%，但含广谱高频料。</t>
        </is>
      </c>
    </row>
    <row r="9">
      <c r="A9" s="7" t="inlineStr">
        <is>
          <t>2. Top10客户约占净重58%——客户集中度高。</t>
        </is>
      </c>
    </row>
    <row r="10">
      <c r="A10" s="7" t="inlineStr">
        <is>
          <t>3. 运费第一大头是内部「移库（上海-长春）」约88.4万，其次「长春美凯威奇」约50.1万。</t>
        </is>
      </c>
    </row>
    <row r="11">
      <c r="A11" s="7" t="inlineStr">
        <is>
          <t>4. 南通艾郎货量最大（8.68万KG），几乎全部来自单一物料 34020.7035.W.5W3。</t>
        </is>
      </c>
    </row>
    <row r="12">
      <c r="A12" s="7" t="inlineStr">
        <is>
          <t>5. 广谱标配料：60518…650（47客）、34577…002（48客）——适合标准温控产品/库存优先。</t>
        </is>
      </c>
    </row>
    <row r="13">
      <c r="A13" s="7" t="inlineStr">
        <is>
          <t>6. SEW网络（名称含SEW）合计约95票、运费约72.5万——适合打包线路谈判。</t>
        </is>
      </c>
    </row>
    <row r="15">
      <c r="A15" s="3" t="inlineStr">
        <is>
          <t>温控类型结构</t>
        </is>
      </c>
    </row>
    <row r="16">
      <c r="A16" s="8" t="inlineStr">
        <is>
          <t>温控要求</t>
        </is>
      </c>
      <c r="B16" s="8" t="inlineStr">
        <is>
          <t>净重KG</t>
        </is>
      </c>
      <c r="C16" s="8" t="inlineStr">
        <is>
          <t>占比</t>
        </is>
      </c>
      <c r="D16" s="8" t="inlineStr">
        <is>
          <t>Delivery</t>
        </is>
      </c>
    </row>
    <row r="17">
      <c r="A17" s="9" t="inlineStr">
        <is>
          <t>35℃以上/0℃以下保温</t>
        </is>
      </c>
      <c r="B17" s="10" t="n">
        <v>449962.13</v>
      </c>
      <c r="C17" s="11" t="n">
        <v>0.839</v>
      </c>
      <c r="D17" s="10" t="n">
        <v>1064</v>
      </c>
    </row>
    <row r="18">
      <c r="A18" s="9" t="inlineStr">
        <is>
          <t>30℃以上/0℃以下保温</t>
        </is>
      </c>
      <c r="B18" s="10" t="n">
        <v>86255</v>
      </c>
      <c r="C18" s="11" t="n">
        <v>0.161</v>
      </c>
      <c r="D18" s="10" t="n">
        <v>386</v>
      </c>
    </row>
    <row r="20">
      <c r="A20" s="3" t="inlineStr">
        <is>
          <t>Top10 客户（按净重）</t>
        </is>
      </c>
    </row>
    <row r="21">
      <c r="A21" s="8" t="inlineStr">
        <is>
          <t>排名</t>
        </is>
      </c>
      <c r="B21" s="8" t="inlineStr">
        <is>
          <t>客户简称</t>
        </is>
      </c>
      <c r="C21" s="8" t="inlineStr">
        <is>
          <t>Delivery</t>
        </is>
      </c>
      <c r="D21" s="8" t="inlineStr">
        <is>
          <t>净重KG</t>
        </is>
      </c>
      <c r="E21" s="8" t="inlineStr">
        <is>
          <t>占总量</t>
        </is>
      </c>
    </row>
    <row r="22">
      <c r="A22" s="12" t="n">
        <v>1</v>
      </c>
      <c r="B22" s="13" t="inlineStr">
        <is>
          <t>南通艾郎</t>
        </is>
      </c>
      <c r="C22" s="13" t="n">
        <v>13</v>
      </c>
      <c r="D22" s="14" t="n">
        <v>86800</v>
      </c>
      <c r="E22" s="15" t="n">
        <v>0.1618747241439303</v>
      </c>
    </row>
    <row r="23">
      <c r="A23" s="16" t="n">
        <v>2</v>
      </c>
      <c r="B23" s="17" t="inlineStr">
        <is>
          <t>移库（上海-长春）</t>
        </is>
      </c>
      <c r="C23" s="17" t="n">
        <v>50</v>
      </c>
      <c r="D23" s="18" t="n">
        <v>49233</v>
      </c>
      <c r="E23" s="19" t="n">
        <v>0.09181541813108432</v>
      </c>
    </row>
    <row r="24">
      <c r="A24" s="12" t="n">
        <v>3</v>
      </c>
      <c r="B24" s="13" t="inlineStr">
        <is>
          <t>天津艾尔姆</t>
        </is>
      </c>
      <c r="C24" s="13" t="n">
        <v>19</v>
      </c>
      <c r="D24" s="14" t="n">
        <v>30698</v>
      </c>
      <c r="E24" s="15" t="n">
        <v>0.05724919679458954</v>
      </c>
    </row>
    <row r="25">
      <c r="A25" s="16" t="n">
        <v>4</v>
      </c>
      <c r="B25" s="17" t="inlineStr">
        <is>
          <t>SEW天津</t>
        </is>
      </c>
      <c r="C25" s="17" t="n">
        <v>39</v>
      </c>
      <c r="D25" s="18" t="n">
        <v>30691</v>
      </c>
      <c r="E25" s="19" t="n">
        <v>0.05723614238135212</v>
      </c>
    </row>
    <row r="26">
      <c r="A26" s="12" t="n">
        <v>5</v>
      </c>
      <c r="B26" s="13" t="inlineStr">
        <is>
          <t>漳州金德源</t>
        </is>
      </c>
      <c r="C26" s="13" t="n">
        <v>34</v>
      </c>
      <c r="D26" s="14" t="n">
        <v>24337</v>
      </c>
      <c r="E26" s="15" t="n">
        <v>0.045386464994134</v>
      </c>
    </row>
    <row r="27">
      <c r="A27" s="16" t="n">
        <v>6</v>
      </c>
      <c r="B27" s="17" t="inlineStr">
        <is>
          <t>金力永磁</t>
        </is>
      </c>
      <c r="C27" s="17" t="n">
        <v>13</v>
      </c>
      <c r="D27" s="18" t="n">
        <v>20475</v>
      </c>
      <c r="E27" s="19" t="n">
        <v>0.03818415871943517</v>
      </c>
    </row>
    <row r="28">
      <c r="A28" s="12" t="n">
        <v>7</v>
      </c>
      <c r="B28" s="13" t="inlineStr">
        <is>
          <t>沈阳华翔</t>
        </is>
      </c>
      <c r="C28" s="13" t="n">
        <v>62</v>
      </c>
      <c r="D28" s="14" t="n">
        <v>19384</v>
      </c>
      <c r="E28" s="15" t="n">
        <v>0.0361495351705754</v>
      </c>
    </row>
    <row r="29">
      <c r="A29" s="16" t="n">
        <v>8</v>
      </c>
      <c r="B29" s="17" t="inlineStr">
        <is>
          <t>长春美凯威奇</t>
        </is>
      </c>
      <c r="C29" s="17" t="n">
        <v>25</v>
      </c>
      <c r="D29" s="18" t="n">
        <v>19253</v>
      </c>
      <c r="E29" s="19" t="n">
        <v>0.03590523115141808</v>
      </c>
    </row>
    <row r="30">
      <c r="A30" s="12" t="n">
        <v>9</v>
      </c>
      <c r="B30" s="13" t="inlineStr">
        <is>
          <t>慈溪福尔达</t>
        </is>
      </c>
      <c r="C30" s="13" t="n">
        <v>99</v>
      </c>
      <c r="D30" s="14" t="n">
        <v>18614</v>
      </c>
      <c r="E30" s="15" t="n">
        <v>0.03471354971445988</v>
      </c>
    </row>
    <row r="31">
      <c r="A31" s="16" t="n">
        <v>10</v>
      </c>
      <c r="B31" s="17" t="inlineStr">
        <is>
          <t>福建艾尔姆</t>
        </is>
      </c>
      <c r="C31" s="17" t="n">
        <v>5</v>
      </c>
      <c r="D31" s="18" t="n">
        <v>13600</v>
      </c>
      <c r="E31" s="19" t="n">
        <v>0.02536286000411811</v>
      </c>
    </row>
    <row r="34">
      <c r="A34" s="3" t="inlineStr">
        <is>
          <t>Top10 客户（按运费，Delivery去重）</t>
        </is>
      </c>
    </row>
    <row r="35">
      <c r="A35" s="8" t="inlineStr">
        <is>
          <t>排名</t>
        </is>
      </c>
      <c r="B35" s="8" t="inlineStr">
        <is>
          <t>客户简称</t>
        </is>
      </c>
      <c r="C35" s="8" t="inlineStr">
        <is>
          <t>Delivery</t>
        </is>
      </c>
      <c r="D35" s="8" t="inlineStr">
        <is>
          <t>运费RMB</t>
        </is>
      </c>
      <c r="E35" s="8" t="inlineStr">
        <is>
          <t>占运费总量</t>
        </is>
      </c>
    </row>
    <row r="36">
      <c r="A36" s="12" t="n">
        <v>1</v>
      </c>
      <c r="B36" s="13" t="inlineStr">
        <is>
          <t>移库（上海-长春）</t>
        </is>
      </c>
      <c r="C36" s="13" t="n">
        <v>50</v>
      </c>
      <c r="D36" s="20" t="n">
        <v>884054.97</v>
      </c>
      <c r="E36" s="15" t="n">
        <v>0.1346194534028662</v>
      </c>
    </row>
    <row r="37">
      <c r="A37" s="16" t="n">
        <v>2</v>
      </c>
      <c r="B37" s="17" t="inlineStr">
        <is>
          <t>长春美凯威奇</t>
        </is>
      </c>
      <c r="C37" s="17" t="n">
        <v>25</v>
      </c>
      <c r="D37" s="21" t="n">
        <v>500832.39</v>
      </c>
      <c r="E37" s="19" t="n">
        <v>0.0762642424692789</v>
      </c>
    </row>
    <row r="38">
      <c r="A38" s="12" t="n">
        <v>3</v>
      </c>
      <c r="B38" s="13" t="inlineStr">
        <is>
          <t>SEW天津</t>
        </is>
      </c>
      <c r="C38" s="13" t="n">
        <v>39</v>
      </c>
      <c r="D38" s="20" t="n">
        <v>424710.05</v>
      </c>
      <c r="E38" s="15" t="n">
        <v>0.06467271462282934</v>
      </c>
    </row>
    <row r="39">
      <c r="A39" s="16" t="n">
        <v>4</v>
      </c>
      <c r="B39" s="17" t="inlineStr">
        <is>
          <t>沈阳华翔</t>
        </is>
      </c>
      <c r="C39" s="17" t="n">
        <v>62</v>
      </c>
      <c r="D39" s="21" t="n">
        <v>366049.44</v>
      </c>
      <c r="E39" s="19" t="n">
        <v>0.05574017137330866</v>
      </c>
    </row>
    <row r="40">
      <c r="A40" s="12" t="n">
        <v>5</v>
      </c>
      <c r="B40" s="13" t="inlineStr">
        <is>
          <t>天津常春</t>
        </is>
      </c>
      <c r="C40" s="13" t="n">
        <v>56</v>
      </c>
      <c r="D40" s="20" t="n">
        <v>345917.28</v>
      </c>
      <c r="E40" s="15" t="n">
        <v>0.05267454709994584</v>
      </c>
    </row>
    <row r="41">
      <c r="A41" s="16" t="n">
        <v>6</v>
      </c>
      <c r="B41" s="17" t="inlineStr">
        <is>
          <t>漳州金德源</t>
        </is>
      </c>
      <c r="C41" s="17" t="n">
        <v>34</v>
      </c>
      <c r="D41" s="21" t="n">
        <v>307045.3</v>
      </c>
      <c r="E41" s="19" t="n">
        <v>0.04675531709970372</v>
      </c>
    </row>
    <row r="42">
      <c r="A42" s="12" t="n">
        <v>7</v>
      </c>
      <c r="B42" s="13" t="inlineStr">
        <is>
          <t>天津艾尔姆</t>
        </is>
      </c>
      <c r="C42" s="13" t="n">
        <v>19</v>
      </c>
      <c r="D42" s="20" t="n">
        <v>227632.35</v>
      </c>
      <c r="E42" s="15" t="n">
        <v>0.03466271167935397</v>
      </c>
    </row>
    <row r="43">
      <c r="A43" s="16" t="n">
        <v>8</v>
      </c>
      <c r="B43" s="17" t="inlineStr">
        <is>
          <t>慈溪福尔达</t>
        </is>
      </c>
      <c r="C43" s="17" t="n">
        <v>99</v>
      </c>
      <c r="D43" s="21" t="n">
        <v>202404.65</v>
      </c>
      <c r="E43" s="19" t="n">
        <v>0.03082116415136316</v>
      </c>
    </row>
    <row r="44">
      <c r="A44" s="12" t="n">
        <v>9</v>
      </c>
      <c r="B44" s="13" t="inlineStr">
        <is>
          <t>锦州希尔达</t>
        </is>
      </c>
      <c r="C44" s="13" t="n">
        <v>26</v>
      </c>
      <c r="D44" s="20" t="n">
        <v>183457.12</v>
      </c>
      <c r="E44" s="15" t="n">
        <v>0.0279359293882642</v>
      </c>
    </row>
    <row r="45">
      <c r="A45" s="16" t="n">
        <v>10</v>
      </c>
      <c r="B45" s="17" t="inlineStr">
        <is>
          <t>辽宁金美达</t>
        </is>
      </c>
      <c r="C45" s="17" t="n">
        <v>29</v>
      </c>
      <c r="D45" s="21" t="n">
        <v>158913</v>
      </c>
      <c r="E45" s="19" t="n">
        <v>0.02419847399150945</v>
      </c>
    </row>
    <row r="48">
      <c r="A48" s="3" t="inlineStr">
        <is>
          <t>Top10 物料（按净重）</t>
        </is>
      </c>
    </row>
    <row r="49">
      <c r="A49" s="8" t="inlineStr">
        <is>
          <t>排名</t>
        </is>
      </c>
      <c r="B49" s="8" t="inlineStr">
        <is>
          <t>Material</t>
        </is>
      </c>
      <c r="C49" s="8" t="inlineStr">
        <is>
          <t>净重KG</t>
        </is>
      </c>
      <c r="D49" s="8" t="inlineStr">
        <is>
          <t>客户数</t>
        </is>
      </c>
      <c r="E49" s="8" t="inlineStr">
        <is>
          <t>Delivery</t>
        </is>
      </c>
      <c r="F49" s="8" t="inlineStr">
        <is>
          <t>温控要求</t>
        </is>
      </c>
    </row>
    <row r="50">
      <c r="A50" s="12" t="n">
        <v>1</v>
      </c>
      <c r="B50" s="13" t="inlineStr">
        <is>
          <t>34020.7035.W.5W3</t>
        </is>
      </c>
      <c r="C50" s="14" t="n">
        <v>67500</v>
      </c>
      <c r="D50" s="13" t="n">
        <v>1</v>
      </c>
      <c r="E50" s="13" t="n">
        <v>13</v>
      </c>
      <c r="F50" s="13" t="inlineStr">
        <is>
          <t>35℃以上/0℃以下保温</t>
        </is>
      </c>
    </row>
    <row r="51">
      <c r="A51" s="16" t="n">
        <v>2</v>
      </c>
      <c r="B51" s="17" t="inlineStr">
        <is>
          <t>75724.0988.D.760</t>
        </is>
      </c>
      <c r="C51" s="18" t="n">
        <v>40420</v>
      </c>
      <c r="D51" s="17" t="n">
        <v>26</v>
      </c>
      <c r="E51" s="17" t="n">
        <v>183</v>
      </c>
      <c r="F51" s="17" t="inlineStr">
        <is>
          <t>30℃以上/0℃以下保温</t>
        </is>
      </c>
    </row>
    <row r="52">
      <c r="A52" s="12" t="n">
        <v>3</v>
      </c>
      <c r="B52" s="13" t="inlineStr">
        <is>
          <t>31240.7031.5.013</t>
        </is>
      </c>
      <c r="C52" s="14" t="n">
        <v>33325</v>
      </c>
      <c r="D52" s="13" t="n">
        <v>5</v>
      </c>
      <c r="E52" s="13" t="n">
        <v>34</v>
      </c>
      <c r="F52" s="13" t="inlineStr">
        <is>
          <t>35℃以上/0℃以下保温</t>
        </is>
      </c>
    </row>
    <row r="53">
      <c r="A53" s="16" t="n">
        <v>4</v>
      </c>
      <c r="B53" s="17" t="inlineStr">
        <is>
          <t>37266.9005.3.013</t>
        </is>
      </c>
      <c r="C53" s="18" t="n">
        <v>26475</v>
      </c>
      <c r="D53" s="17" t="n">
        <v>2</v>
      </c>
      <c r="E53" s="17" t="n">
        <v>19</v>
      </c>
      <c r="F53" s="17" t="inlineStr">
        <is>
          <t>35℃以上/0℃以下保温</t>
        </is>
      </c>
    </row>
    <row r="54">
      <c r="A54" s="12" t="n">
        <v>5</v>
      </c>
      <c r="B54" s="13" t="inlineStr">
        <is>
          <t>60518.0000.0.650</t>
        </is>
      </c>
      <c r="C54" s="14" t="n">
        <v>26015</v>
      </c>
      <c r="D54" s="13" t="n">
        <v>47</v>
      </c>
      <c r="E54" s="13" t="n">
        <v>276</v>
      </c>
      <c r="F54" s="13" t="inlineStr">
        <is>
          <t>30℃以上/0℃以下保温</t>
        </is>
      </c>
    </row>
    <row r="55">
      <c r="A55" s="16" t="n">
        <v>6</v>
      </c>
      <c r="B55" s="17" t="inlineStr">
        <is>
          <t>34577.0000.0.002</t>
        </is>
      </c>
      <c r="C55" s="18" t="n">
        <v>18222</v>
      </c>
      <c r="D55" s="17" t="n">
        <v>48</v>
      </c>
      <c r="E55" s="17" t="n">
        <v>170</v>
      </c>
      <c r="F55" s="17" t="inlineStr">
        <is>
          <t>35℃以上/0℃以下保温</t>
        </is>
      </c>
    </row>
    <row r="56">
      <c r="A56" s="12" t="n">
        <v>7</v>
      </c>
      <c r="B56" s="13" t="inlineStr">
        <is>
          <t>34577.0000.0.5W5</t>
        </is>
      </c>
      <c r="C56" s="14" t="n">
        <v>17600</v>
      </c>
      <c r="D56" s="13" t="n">
        <v>1</v>
      </c>
      <c r="E56" s="13" t="n">
        <v>9</v>
      </c>
      <c r="F56" s="13" t="inlineStr">
        <is>
          <t>35℃以上/0℃以下保温</t>
        </is>
      </c>
    </row>
    <row r="57">
      <c r="A57" s="16" t="n">
        <v>8</v>
      </c>
      <c r="B57" s="17" t="inlineStr">
        <is>
          <t>340GG.7035.W.311</t>
        </is>
      </c>
      <c r="C57" s="18" t="n">
        <v>17500</v>
      </c>
      <c r="D57" s="17" t="n">
        <v>1</v>
      </c>
      <c r="E57" s="17" t="n">
        <v>13</v>
      </c>
      <c r="F57" s="17" t="inlineStr">
        <is>
          <t>35℃以上/0℃以下保温</t>
        </is>
      </c>
    </row>
    <row r="58">
      <c r="A58" s="12" t="n">
        <v>9</v>
      </c>
      <c r="B58" s="13" t="inlineStr">
        <is>
          <t>31334.7810.3.053</t>
        </is>
      </c>
      <c r="C58" s="14" t="n">
        <v>16848</v>
      </c>
      <c r="D58" s="13" t="n">
        <v>17</v>
      </c>
      <c r="E58" s="13" t="n">
        <v>62</v>
      </c>
      <c r="F58" s="13" t="inlineStr">
        <is>
          <t>35℃以上/0℃以下保温</t>
        </is>
      </c>
    </row>
    <row r="59">
      <c r="A59" s="16" t="n">
        <v>10</v>
      </c>
      <c r="B59" s="17" t="inlineStr">
        <is>
          <t>340GG.7035.W.243</t>
        </is>
      </c>
      <c r="C59" s="18" t="n">
        <v>15990</v>
      </c>
      <c r="D59" s="17" t="n">
        <v>5</v>
      </c>
      <c r="E59" s="17" t="n">
        <v>11</v>
      </c>
      <c r="F59" s="17" t="inlineStr">
        <is>
          <t>35℃以上/0℃以下保温</t>
        </is>
      </c>
    </row>
  </sheetData>
  <mergeCells count="8">
    <mergeCell ref="A11:F11"/>
    <mergeCell ref="A10:F10"/>
    <mergeCell ref="A13:F13"/>
    <mergeCell ref="A2:H2"/>
    <mergeCell ref="A9:F9"/>
    <mergeCell ref="A8:F8"/>
    <mergeCell ref="A12:F12"/>
    <mergeCell ref="A1:H1"/>
  </mergeCells>
  <conditionalFormatting sqref="D22:D31">
    <cfRule type="dataBar" priority="1">
      <dataBar>
        <cfvo type="num" val="0"/>
        <cfvo type="max"/>
        <color rgb="005B9BD5"/>
      </dataBar>
    </cfRule>
  </conditionalFormatting>
  <conditionalFormatting sqref="D36:D45">
    <cfRule type="dataBar" priority="2">
      <dataBar>
        <cfvo type="num" val="0"/>
        <cfvo type="max"/>
        <color rgb="00ED7D31"/>
      </dataBar>
    </cfRule>
  </conditionalFormatting>
  <conditionalFormatting sqref="C50:C59">
    <cfRule type="dataBar" priority="3">
      <dataBar>
        <cfvo type="num" val="0"/>
        <cfvo type="max"/>
        <color rgb="0070AD47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客户分析 — 按净重排序（Top25）</t>
        </is>
      </c>
    </row>
    <row r="2">
      <c r="A2" s="2" t="inlineStr">
        <is>
          <t>含内部移库/关联仓；分析终端客户时可剔除「移库」「长春美凯威奇」</t>
        </is>
      </c>
    </row>
    <row r="4">
      <c r="A4" s="8" t="inlineStr">
        <is>
          <t>排名</t>
        </is>
      </c>
      <c r="B4" s="8" t="inlineStr">
        <is>
          <t>客户简称</t>
        </is>
      </c>
      <c r="C4" s="8" t="inlineStr">
        <is>
          <t>物料行数</t>
        </is>
      </c>
      <c r="D4" s="8" t="inlineStr">
        <is>
          <t>Delivery数</t>
        </is>
      </c>
      <c r="E4" s="8" t="inlineStr">
        <is>
          <t>净重KG</t>
        </is>
      </c>
      <c r="F4" s="8" t="inlineStr">
        <is>
          <t>占总量%</t>
        </is>
      </c>
      <c r="G4" s="8" t="inlineStr">
        <is>
          <t>类型标签</t>
        </is>
      </c>
    </row>
    <row r="5">
      <c r="A5" s="16" t="n">
        <v>1</v>
      </c>
      <c r="B5" s="17" t="inlineStr">
        <is>
          <t>南通艾郎</t>
        </is>
      </c>
      <c r="C5" s="17" t="n">
        <v>27</v>
      </c>
      <c r="D5" s="17" t="n">
        <v>13</v>
      </c>
      <c r="E5" s="18" t="n">
        <v>86800</v>
      </c>
      <c r="F5" s="22" t="n">
        <v>0.1618747241439303</v>
      </c>
      <c r="G5" s="17" t="inlineStr">
        <is>
          <t>终端客户</t>
        </is>
      </c>
    </row>
    <row r="6">
      <c r="A6" s="23" t="n">
        <v>2</v>
      </c>
      <c r="B6" s="24" t="inlineStr">
        <is>
          <t>移库（上海-长春）</t>
        </is>
      </c>
      <c r="C6" s="24" t="n">
        <v>185</v>
      </c>
      <c r="D6" s="24" t="n">
        <v>50</v>
      </c>
      <c r="E6" s="25" t="n">
        <v>49233</v>
      </c>
      <c r="F6" s="26" t="n">
        <v>0.09181541813108432</v>
      </c>
      <c r="G6" s="24" t="inlineStr">
        <is>
          <t>内部/关联</t>
        </is>
      </c>
    </row>
    <row r="7">
      <c r="A7" s="16" t="n">
        <v>3</v>
      </c>
      <c r="B7" s="17" t="inlineStr">
        <is>
          <t>天津艾尔姆</t>
        </is>
      </c>
      <c r="C7" s="17" t="n">
        <v>34</v>
      </c>
      <c r="D7" s="17" t="n">
        <v>19</v>
      </c>
      <c r="E7" s="18" t="n">
        <v>30698</v>
      </c>
      <c r="F7" s="22" t="n">
        <v>0.05724919679458954</v>
      </c>
      <c r="G7" s="17" t="inlineStr">
        <is>
          <t>终端客户</t>
        </is>
      </c>
    </row>
    <row r="8">
      <c r="A8" s="12" t="n">
        <v>4</v>
      </c>
      <c r="B8" s="13" t="inlineStr">
        <is>
          <t>SEW天津</t>
        </is>
      </c>
      <c r="C8" s="13" t="n">
        <v>67</v>
      </c>
      <c r="D8" s="13" t="n">
        <v>39</v>
      </c>
      <c r="E8" s="14" t="n">
        <v>30691</v>
      </c>
      <c r="F8" s="27" t="n">
        <v>0.05723614238135212</v>
      </c>
      <c r="G8" s="13" t="inlineStr">
        <is>
          <t>SEW网络</t>
        </is>
      </c>
    </row>
    <row r="9">
      <c r="A9" s="16" t="n">
        <v>5</v>
      </c>
      <c r="B9" s="17" t="inlineStr">
        <is>
          <t>漳州金德源</t>
        </is>
      </c>
      <c r="C9" s="17" t="n">
        <v>88</v>
      </c>
      <c r="D9" s="17" t="n">
        <v>34</v>
      </c>
      <c r="E9" s="18" t="n">
        <v>24337</v>
      </c>
      <c r="F9" s="22" t="n">
        <v>0.045386464994134</v>
      </c>
      <c r="G9" s="17" t="inlineStr">
        <is>
          <t>终端客户</t>
        </is>
      </c>
    </row>
    <row r="10">
      <c r="A10" s="12" t="n">
        <v>6</v>
      </c>
      <c r="B10" s="13" t="inlineStr">
        <is>
          <t>金力永磁</t>
        </is>
      </c>
      <c r="C10" s="13" t="n">
        <v>13</v>
      </c>
      <c r="D10" s="13" t="n">
        <v>13</v>
      </c>
      <c r="E10" s="14" t="n">
        <v>20475</v>
      </c>
      <c r="F10" s="27" t="n">
        <v>0.03818415871943517</v>
      </c>
      <c r="G10" s="13" t="inlineStr">
        <is>
          <t>终端客户</t>
        </is>
      </c>
    </row>
    <row r="11">
      <c r="A11" s="16" t="n">
        <v>7</v>
      </c>
      <c r="B11" s="17" t="inlineStr">
        <is>
          <t>沈阳华翔</t>
        </is>
      </c>
      <c r="C11" s="17" t="n">
        <v>113</v>
      </c>
      <c r="D11" s="17" t="n">
        <v>62</v>
      </c>
      <c r="E11" s="18" t="n">
        <v>19384</v>
      </c>
      <c r="F11" s="22" t="n">
        <v>0.0361495351705754</v>
      </c>
      <c r="G11" s="17" t="inlineStr">
        <is>
          <t>终端客户</t>
        </is>
      </c>
    </row>
    <row r="12">
      <c r="A12" s="23" t="n">
        <v>8</v>
      </c>
      <c r="B12" s="24" t="inlineStr">
        <is>
          <t>长春美凯威奇</t>
        </is>
      </c>
      <c r="C12" s="24" t="n">
        <v>100</v>
      </c>
      <c r="D12" s="24" t="n">
        <v>25</v>
      </c>
      <c r="E12" s="25" t="n">
        <v>19253</v>
      </c>
      <c r="F12" s="26" t="n">
        <v>0.03590523115141808</v>
      </c>
      <c r="G12" s="24" t="inlineStr">
        <is>
          <t>内部/关联</t>
        </is>
      </c>
    </row>
    <row r="13">
      <c r="A13" s="16" t="n">
        <v>9</v>
      </c>
      <c r="B13" s="17" t="inlineStr">
        <is>
          <t>慈溪福尔达</t>
        </is>
      </c>
      <c r="C13" s="17" t="n">
        <v>157</v>
      </c>
      <c r="D13" s="17" t="n">
        <v>99</v>
      </c>
      <c r="E13" s="18" t="n">
        <v>18614</v>
      </c>
      <c r="F13" s="22" t="n">
        <v>0.03471354971445988</v>
      </c>
      <c r="G13" s="17" t="inlineStr">
        <is>
          <t>终端客户</t>
        </is>
      </c>
    </row>
    <row r="14">
      <c r="A14" s="12" t="n">
        <v>10</v>
      </c>
      <c r="B14" s="13" t="inlineStr">
        <is>
          <t>福建艾尔姆</t>
        </is>
      </c>
      <c r="C14" s="13" t="n">
        <v>8</v>
      </c>
      <c r="D14" s="13" t="n">
        <v>5</v>
      </c>
      <c r="E14" s="14" t="n">
        <v>13600</v>
      </c>
      <c r="F14" s="27" t="n">
        <v>0.02536286000411811</v>
      </c>
      <c r="G14" s="13" t="inlineStr">
        <is>
          <t>终端客户</t>
        </is>
      </c>
    </row>
    <row r="15">
      <c r="A15" s="16" t="n">
        <v>11</v>
      </c>
      <c r="B15" s="17" t="inlineStr">
        <is>
          <t>天津常春</t>
        </is>
      </c>
      <c r="C15" s="17" t="n">
        <v>119</v>
      </c>
      <c r="D15" s="17" t="n">
        <v>56</v>
      </c>
      <c r="E15" s="18" t="n">
        <v>13513</v>
      </c>
      <c r="F15" s="22" t="n">
        <v>0.02520061229673882</v>
      </c>
      <c r="G15" s="17" t="inlineStr">
        <is>
          <t>终端客户</t>
        </is>
      </c>
    </row>
    <row r="16">
      <c r="A16" s="12" t="n">
        <v>12</v>
      </c>
      <c r="B16" s="13" t="inlineStr">
        <is>
          <t>锦州希尔达</t>
        </is>
      </c>
      <c r="C16" s="13" t="n">
        <v>62</v>
      </c>
      <c r="D16" s="13" t="n">
        <v>26</v>
      </c>
      <c r="E16" s="14" t="n">
        <v>10084</v>
      </c>
      <c r="F16" s="27" t="n">
        <v>0.01880581472658287</v>
      </c>
      <c r="G16" s="13" t="inlineStr">
        <is>
          <t>终端客户</t>
        </is>
      </c>
    </row>
    <row r="17">
      <c r="A17" s="16" t="n">
        <v>13</v>
      </c>
      <c r="B17" s="17" t="inlineStr">
        <is>
          <t>上海宜发</t>
        </is>
      </c>
      <c r="C17" s="17" t="n">
        <v>29</v>
      </c>
      <c r="D17" s="17" t="n">
        <v>27</v>
      </c>
      <c r="E17" s="18" t="n">
        <v>9324</v>
      </c>
      <c r="F17" s="22" t="n">
        <v>0.01738847843223509</v>
      </c>
      <c r="G17" s="17" t="inlineStr">
        <is>
          <t>终端客户</t>
        </is>
      </c>
    </row>
    <row r="18">
      <c r="A18" s="12" t="n">
        <v>14</v>
      </c>
      <c r="B18" s="13" t="inlineStr">
        <is>
          <t>常州天纳克</t>
        </is>
      </c>
      <c r="C18" s="13" t="n">
        <v>14</v>
      </c>
      <c r="D18" s="13" t="n">
        <v>8</v>
      </c>
      <c r="E18" s="14" t="n">
        <v>7728</v>
      </c>
      <c r="F18" s="27" t="n">
        <v>0.01441207221410476</v>
      </c>
      <c r="G18" s="13" t="inlineStr">
        <is>
          <t>终端客户</t>
        </is>
      </c>
    </row>
    <row r="19">
      <c r="A19" s="16" t="n">
        <v>15</v>
      </c>
      <c r="B19" s="17" t="inlineStr">
        <is>
          <t>江苏金鑫</t>
        </is>
      </c>
      <c r="C19" s="17" t="n">
        <v>32</v>
      </c>
      <c r="D19" s="17" t="n">
        <v>20</v>
      </c>
      <c r="E19" s="18" t="n">
        <v>7648</v>
      </c>
      <c r="F19" s="22" t="n">
        <v>0.01426287891996289</v>
      </c>
      <c r="G19" s="17" t="inlineStr">
        <is>
          <t>终端客户</t>
        </is>
      </c>
    </row>
    <row r="20">
      <c r="A20" s="12" t="n">
        <v>16</v>
      </c>
      <c r="B20" s="13" t="inlineStr">
        <is>
          <t>南通柏源</t>
        </is>
      </c>
      <c r="C20" s="13" t="n">
        <v>46</v>
      </c>
      <c r="D20" s="13" t="n">
        <v>21</v>
      </c>
      <c r="E20" s="14" t="n">
        <v>6277</v>
      </c>
      <c r="F20" s="27" t="n">
        <v>0.01170607884160657</v>
      </c>
      <c r="G20" s="13" t="inlineStr">
        <is>
          <t>终端客户</t>
        </is>
      </c>
    </row>
    <row r="21">
      <c r="A21" s="16" t="n">
        <v>17</v>
      </c>
      <c r="B21" s="17" t="inlineStr">
        <is>
          <t>江苏诺德</t>
        </is>
      </c>
      <c r="C21" s="17" t="n">
        <v>33</v>
      </c>
      <c r="D21" s="17" t="n">
        <v>23</v>
      </c>
      <c r="E21" s="18" t="n">
        <v>6237</v>
      </c>
      <c r="F21" s="22" t="n">
        <v>0.01163148219453563</v>
      </c>
      <c r="G21" s="17" t="inlineStr">
        <is>
          <t>终端客户</t>
        </is>
      </c>
    </row>
    <row r="22">
      <c r="A22" s="12" t="n">
        <v>18</v>
      </c>
      <c r="B22" s="13" t="inlineStr">
        <is>
          <t>辽宁金美达</t>
        </is>
      </c>
      <c r="C22" s="13" t="n">
        <v>104</v>
      </c>
      <c r="D22" s="13" t="n">
        <v>29</v>
      </c>
      <c r="E22" s="14" t="n">
        <v>6233</v>
      </c>
      <c r="F22" s="27" t="n">
        <v>0.01162402252982854</v>
      </c>
      <c r="G22" s="13" t="inlineStr">
        <is>
          <t>终端客户</t>
        </is>
      </c>
    </row>
    <row r="23">
      <c r="A23" s="16" t="n">
        <v>19</v>
      </c>
      <c r="B23" s="17" t="inlineStr">
        <is>
          <t>包头金力永磁</t>
        </is>
      </c>
      <c r="C23" s="17" t="n">
        <v>6</v>
      </c>
      <c r="D23" s="17" t="n">
        <v>6</v>
      </c>
      <c r="E23" s="18" t="n">
        <v>6000</v>
      </c>
      <c r="F23" s="22" t="n">
        <v>0.01118949706064034</v>
      </c>
      <c r="G23" s="17" t="inlineStr">
        <is>
          <t>终端客户</t>
        </is>
      </c>
    </row>
    <row r="24">
      <c r="A24" s="12" t="n">
        <v>20</v>
      </c>
      <c r="B24" s="13" t="inlineStr">
        <is>
          <t>江苏瑞恒</t>
        </is>
      </c>
      <c r="C24" s="13" t="n">
        <v>50</v>
      </c>
      <c r="D24" s="13" t="n">
        <v>17</v>
      </c>
      <c r="E24" s="14" t="n">
        <v>5727</v>
      </c>
      <c r="F24" s="27" t="n">
        <v>0.01068037494438121</v>
      </c>
      <c r="G24" s="13" t="inlineStr">
        <is>
          <t>终端客户</t>
        </is>
      </c>
    </row>
    <row r="25">
      <c r="A25" s="16" t="n">
        <v>21</v>
      </c>
      <c r="B25" s="17" t="inlineStr">
        <is>
          <t>SEW-武汉</t>
        </is>
      </c>
      <c r="C25" s="17" t="n">
        <v>49</v>
      </c>
      <c r="D25" s="17" t="n">
        <v>25</v>
      </c>
      <c r="E25" s="18" t="n">
        <v>5662</v>
      </c>
      <c r="F25" s="22" t="n">
        <v>0.01055915539289094</v>
      </c>
      <c r="G25" s="17" t="inlineStr">
        <is>
          <t>SEW网络</t>
        </is>
      </c>
    </row>
    <row r="26">
      <c r="A26" s="12" t="n">
        <v>22</v>
      </c>
      <c r="B26" s="13" t="inlineStr">
        <is>
          <t>SEW沈阳</t>
        </is>
      </c>
      <c r="C26" s="13" t="n">
        <v>19</v>
      </c>
      <c r="D26" s="13" t="n">
        <v>11</v>
      </c>
      <c r="E26" s="14" t="n">
        <v>5194</v>
      </c>
      <c r="F26" s="27" t="n">
        <v>0.009686374622160989</v>
      </c>
      <c r="G26" s="13" t="inlineStr">
        <is>
          <t>SEW网络</t>
        </is>
      </c>
    </row>
    <row r="27">
      <c r="A27" s="16" t="n">
        <v>23</v>
      </c>
      <c r="B27" s="17" t="inlineStr">
        <is>
          <t>烟台薪利琨</t>
        </is>
      </c>
      <c r="C27" s="17" t="n">
        <v>5</v>
      </c>
      <c r="D27" s="17" t="n">
        <v>5</v>
      </c>
      <c r="E27" s="18" t="n">
        <v>4750</v>
      </c>
      <c r="F27" s="22" t="n">
        <v>0.008858351839673604</v>
      </c>
      <c r="G27" s="17" t="inlineStr">
        <is>
          <t>终端客户</t>
        </is>
      </c>
    </row>
    <row r="28">
      <c r="A28" s="12" t="n">
        <v>24</v>
      </c>
      <c r="B28" s="13" t="inlineStr">
        <is>
          <t>宁波普瑞均胜</t>
        </is>
      </c>
      <c r="C28" s="13" t="n">
        <v>40</v>
      </c>
      <c r="D28" s="13" t="n">
        <v>23</v>
      </c>
      <c r="E28" s="14" t="n">
        <v>4675</v>
      </c>
      <c r="F28" s="27" t="n">
        <v>0.008718483126415599</v>
      </c>
      <c r="G28" s="13" t="inlineStr">
        <is>
          <t>终端客户</t>
        </is>
      </c>
    </row>
    <row r="29">
      <c r="A29" s="16" t="n">
        <v>25</v>
      </c>
      <c r="B29" s="17" t="inlineStr">
        <is>
          <t>武汉广佳</t>
        </is>
      </c>
      <c r="C29" s="17" t="n">
        <v>33</v>
      </c>
      <c r="D29" s="17" t="n">
        <v>19</v>
      </c>
      <c r="E29" s="18" t="n">
        <v>4635</v>
      </c>
      <c r="F29" s="22" t="n">
        <v>0.008643886479344665</v>
      </c>
      <c r="G29" s="17" t="inlineStr">
        <is>
          <t>终端客户</t>
        </is>
      </c>
    </row>
  </sheetData>
  <mergeCells count="1">
    <mergeCell ref="A1:F1"/>
  </mergeCells>
  <conditionalFormatting sqref="E5:E29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客户分析 — 按运费排序（Top20，Delivery去重）</t>
        </is>
      </c>
    </row>
    <row r="2">
      <c r="A2" s="2" t="inlineStr">
        <is>
          <t>同一Delivery多物料行会重复带运费，本表已按运单去重后汇总</t>
        </is>
      </c>
    </row>
    <row r="4">
      <c r="A4" s="8" t="inlineStr">
        <is>
          <t>排名</t>
        </is>
      </c>
      <c r="B4" s="8" t="inlineStr">
        <is>
          <t>客户简称</t>
        </is>
      </c>
      <c r="C4" s="8" t="inlineStr">
        <is>
          <t>Delivery数</t>
        </is>
      </c>
      <c r="D4" s="8" t="inlineStr">
        <is>
          <t>运费RMB</t>
        </is>
      </c>
      <c r="E4" s="8" t="inlineStr">
        <is>
          <t>占运费总量%</t>
        </is>
      </c>
      <c r="F4" s="8" t="inlineStr">
        <is>
          <t>类型标签</t>
        </is>
      </c>
    </row>
    <row r="5">
      <c r="A5" s="23" t="n">
        <v>1</v>
      </c>
      <c r="B5" s="24" t="inlineStr">
        <is>
          <t>移库（上海-长春）</t>
        </is>
      </c>
      <c r="C5" s="24" t="n">
        <v>50</v>
      </c>
      <c r="D5" s="28" t="n">
        <v>884054.97</v>
      </c>
      <c r="E5" s="26" t="n">
        <v>0.1346194534028662</v>
      </c>
      <c r="F5" s="24" t="inlineStr">
        <is>
          <t>内部/关联</t>
        </is>
      </c>
    </row>
    <row r="6">
      <c r="A6" s="23" t="n">
        <v>2</v>
      </c>
      <c r="B6" s="24" t="inlineStr">
        <is>
          <t>长春美凯威奇</t>
        </is>
      </c>
      <c r="C6" s="24" t="n">
        <v>25</v>
      </c>
      <c r="D6" s="28" t="n">
        <v>500832.39</v>
      </c>
      <c r="E6" s="26" t="n">
        <v>0.0762642424692789</v>
      </c>
      <c r="F6" s="24" t="inlineStr">
        <is>
          <t>内部/关联</t>
        </is>
      </c>
    </row>
    <row r="7">
      <c r="A7" s="16" t="n">
        <v>3</v>
      </c>
      <c r="B7" s="17" t="inlineStr">
        <is>
          <t>SEW天津</t>
        </is>
      </c>
      <c r="C7" s="17" t="n">
        <v>39</v>
      </c>
      <c r="D7" s="21" t="n">
        <v>424710.05</v>
      </c>
      <c r="E7" s="22" t="n">
        <v>0.06467271462282934</v>
      </c>
      <c r="F7" s="17" t="inlineStr">
        <is>
          <t>SEW网络</t>
        </is>
      </c>
    </row>
    <row r="8">
      <c r="A8" s="12" t="n">
        <v>4</v>
      </c>
      <c r="B8" s="13" t="inlineStr">
        <is>
          <t>沈阳华翔</t>
        </is>
      </c>
      <c r="C8" s="13" t="n">
        <v>62</v>
      </c>
      <c r="D8" s="20" t="n">
        <v>366049.44</v>
      </c>
      <c r="E8" s="27" t="n">
        <v>0.05574017137330866</v>
      </c>
      <c r="F8" s="13" t="inlineStr">
        <is>
          <t>终端客户</t>
        </is>
      </c>
    </row>
    <row r="9">
      <c r="A9" s="16" t="n">
        <v>5</v>
      </c>
      <c r="B9" s="17" t="inlineStr">
        <is>
          <t>天津常春</t>
        </is>
      </c>
      <c r="C9" s="17" t="n">
        <v>56</v>
      </c>
      <c r="D9" s="21" t="n">
        <v>345917.28</v>
      </c>
      <c r="E9" s="22" t="n">
        <v>0.05267454709994584</v>
      </c>
      <c r="F9" s="17" t="inlineStr">
        <is>
          <t>终端客户</t>
        </is>
      </c>
    </row>
    <row r="10">
      <c r="A10" s="12" t="n">
        <v>6</v>
      </c>
      <c r="B10" s="13" t="inlineStr">
        <is>
          <t>漳州金德源</t>
        </is>
      </c>
      <c r="C10" s="13" t="n">
        <v>34</v>
      </c>
      <c r="D10" s="20" t="n">
        <v>307045.3</v>
      </c>
      <c r="E10" s="27" t="n">
        <v>0.04675531709970372</v>
      </c>
      <c r="F10" s="13" t="inlineStr">
        <is>
          <t>终端客户</t>
        </is>
      </c>
    </row>
    <row r="11">
      <c r="A11" s="16" t="n">
        <v>7</v>
      </c>
      <c r="B11" s="17" t="inlineStr">
        <is>
          <t>天津艾尔姆</t>
        </is>
      </c>
      <c r="C11" s="17" t="n">
        <v>19</v>
      </c>
      <c r="D11" s="21" t="n">
        <v>227632.35</v>
      </c>
      <c r="E11" s="22" t="n">
        <v>0.03466271167935397</v>
      </c>
      <c r="F11" s="17" t="inlineStr">
        <is>
          <t>终端客户</t>
        </is>
      </c>
    </row>
    <row r="12">
      <c r="A12" s="12" t="n">
        <v>8</v>
      </c>
      <c r="B12" s="13" t="inlineStr">
        <is>
          <t>慈溪福尔达</t>
        </is>
      </c>
      <c r="C12" s="13" t="n">
        <v>99</v>
      </c>
      <c r="D12" s="20" t="n">
        <v>202404.65</v>
      </c>
      <c r="E12" s="27" t="n">
        <v>0.03082116415136316</v>
      </c>
      <c r="F12" s="13" t="inlineStr">
        <is>
          <t>终端客户</t>
        </is>
      </c>
    </row>
    <row r="13">
      <c r="A13" s="16" t="n">
        <v>9</v>
      </c>
      <c r="B13" s="17" t="inlineStr">
        <is>
          <t>锦州希尔达</t>
        </is>
      </c>
      <c r="C13" s="17" t="n">
        <v>26</v>
      </c>
      <c r="D13" s="21" t="n">
        <v>183457.12</v>
      </c>
      <c r="E13" s="22" t="n">
        <v>0.0279359293882642</v>
      </c>
      <c r="F13" s="17" t="inlineStr">
        <is>
          <t>终端客户</t>
        </is>
      </c>
    </row>
    <row r="14">
      <c r="A14" s="12" t="n">
        <v>10</v>
      </c>
      <c r="B14" s="13" t="inlineStr">
        <is>
          <t>辽宁金美达</t>
        </is>
      </c>
      <c r="C14" s="13" t="n">
        <v>29</v>
      </c>
      <c r="D14" s="20" t="n">
        <v>158913</v>
      </c>
      <c r="E14" s="27" t="n">
        <v>0.02419847399150945</v>
      </c>
      <c r="F14" s="13" t="inlineStr">
        <is>
          <t>终端客户</t>
        </is>
      </c>
    </row>
    <row r="15">
      <c r="A15" s="16" t="n">
        <v>11</v>
      </c>
      <c r="B15" s="17" t="inlineStr">
        <is>
          <t>哈飞空客</t>
        </is>
      </c>
      <c r="C15" s="17" t="n">
        <v>10</v>
      </c>
      <c r="D15" s="21" t="n">
        <v>136193.32</v>
      </c>
      <c r="E15" s="22" t="n">
        <v>0.02073883516035393</v>
      </c>
      <c r="F15" s="17" t="inlineStr">
        <is>
          <t>终端客户</t>
        </is>
      </c>
    </row>
    <row r="16">
      <c r="A16" s="12" t="n">
        <v>12</v>
      </c>
      <c r="B16" s="13" t="inlineStr">
        <is>
          <t>廊坊德驰莱</t>
        </is>
      </c>
      <c r="C16" s="13" t="n">
        <v>21</v>
      </c>
      <c r="D16" s="20" t="n">
        <v>126813</v>
      </c>
      <c r="E16" s="27" t="n">
        <v>0.01931044711436627</v>
      </c>
      <c r="F16" s="13" t="inlineStr">
        <is>
          <t>终端客户</t>
        </is>
      </c>
    </row>
    <row r="17">
      <c r="A17" s="16" t="n">
        <v>13</v>
      </c>
      <c r="B17" s="17" t="inlineStr">
        <is>
          <t>金力永磁</t>
        </is>
      </c>
      <c r="C17" s="17" t="n">
        <v>13</v>
      </c>
      <c r="D17" s="21" t="n">
        <v>114796.26</v>
      </c>
      <c r="E17" s="22" t="n">
        <v>0.01748059826403477</v>
      </c>
      <c r="F17" s="17" t="inlineStr">
        <is>
          <t>终端客户</t>
        </is>
      </c>
    </row>
    <row r="18">
      <c r="A18" s="12" t="n">
        <v>14</v>
      </c>
      <c r="B18" s="13" t="inlineStr">
        <is>
          <t>SEW-武汉</t>
        </is>
      </c>
      <c r="C18" s="13" t="n">
        <v>25</v>
      </c>
      <c r="D18" s="20" t="n">
        <v>109039.7</v>
      </c>
      <c r="E18" s="27" t="n">
        <v>0.01660401820173298</v>
      </c>
      <c r="F18" s="13" t="inlineStr">
        <is>
          <t>SEW网络</t>
        </is>
      </c>
    </row>
    <row r="19">
      <c r="A19" s="16" t="n">
        <v>15</v>
      </c>
      <c r="B19" s="17" t="inlineStr">
        <is>
          <t>南通艾郎</t>
        </is>
      </c>
      <c r="C19" s="17" t="n">
        <v>13</v>
      </c>
      <c r="D19" s="21" t="n">
        <v>106840.04</v>
      </c>
      <c r="E19" s="22" t="n">
        <v>0.01626906501791439</v>
      </c>
      <c r="F19" s="17" t="inlineStr">
        <is>
          <t>终端客户</t>
        </is>
      </c>
    </row>
    <row r="20">
      <c r="A20" s="12" t="n">
        <v>16</v>
      </c>
      <c r="B20" s="13" t="inlineStr">
        <is>
          <t>SEW西安</t>
        </is>
      </c>
      <c r="C20" s="13" t="n">
        <v>13</v>
      </c>
      <c r="D20" s="20" t="n">
        <v>97240</v>
      </c>
      <c r="E20" s="27" t="n">
        <v>0.0148072191131901</v>
      </c>
      <c r="F20" s="13" t="inlineStr">
        <is>
          <t>SEW网络</t>
        </is>
      </c>
    </row>
    <row r="21">
      <c r="A21" s="16" t="n">
        <v>17</v>
      </c>
      <c r="B21" s="17" t="inlineStr">
        <is>
          <t>绿森-惠州建邦</t>
        </is>
      </c>
      <c r="C21" s="17" t="n">
        <v>20</v>
      </c>
      <c r="D21" s="21" t="n">
        <v>85280</v>
      </c>
      <c r="E21" s="22" t="n">
        <v>0.01298601034525763</v>
      </c>
      <c r="F21" s="17" t="inlineStr">
        <is>
          <t>终端客户</t>
        </is>
      </c>
    </row>
    <row r="22">
      <c r="A22" s="12" t="n">
        <v>18</v>
      </c>
      <c r="B22" s="13" t="inlineStr">
        <is>
          <t>SEW沈阳</t>
        </is>
      </c>
      <c r="C22" s="13" t="n">
        <v>11</v>
      </c>
      <c r="D22" s="20" t="n">
        <v>75295.32000000001</v>
      </c>
      <c r="E22" s="27" t="n">
        <v>0.01146559339199676</v>
      </c>
      <c r="F22" s="13" t="inlineStr">
        <is>
          <t>SEW网络</t>
        </is>
      </c>
    </row>
    <row r="23">
      <c r="A23" s="16" t="n">
        <v>19</v>
      </c>
      <c r="B23" s="17" t="inlineStr">
        <is>
          <t>辽宁和泰</t>
        </is>
      </c>
      <c r="C23" s="17" t="n">
        <v>14</v>
      </c>
      <c r="D23" s="21" t="n">
        <v>74477</v>
      </c>
      <c r="E23" s="22" t="n">
        <v>0.01134098372987515</v>
      </c>
      <c r="F23" s="17" t="inlineStr">
        <is>
          <t>终端客户</t>
        </is>
      </c>
    </row>
    <row r="24">
      <c r="A24" s="12" t="n">
        <v>20</v>
      </c>
      <c r="B24" s="13" t="inlineStr">
        <is>
          <t>广州申涂</t>
        </is>
      </c>
      <c r="C24" s="13" t="n">
        <v>13</v>
      </c>
      <c r="D24" s="20" t="n">
        <v>70600</v>
      </c>
      <c r="E24" s="27" t="n">
        <v>0.01075061363010306</v>
      </c>
      <c r="F24" s="13" t="inlineStr">
        <is>
          <t>终端客户</t>
        </is>
      </c>
    </row>
  </sheetData>
  <mergeCells count="1">
    <mergeCell ref="A1:E1"/>
  </mergeCells>
  <conditionalFormatting sqref="D5:D24">
    <cfRule type="dataBar" priority="1">
      <dataBar>
        <cfvo type="num" val="0"/>
        <cfvo type="max"/>
        <color rgb="00ED7D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24" customWidth="1" min="8" max="8"/>
    <col width="14" customWidth="1" min="9" max="9"/>
  </cols>
  <sheetData>
    <row r="1">
      <c r="A1" s="1" t="inlineStr">
        <is>
          <t>物料号分析 — 按净重排序（Top30）</t>
        </is>
      </c>
    </row>
    <row r="2">
      <c r="A2" s="2" t="inlineStr">
        <is>
          <t>客户数高=广谱标配料；客户数=1且货量大=专车/大单专用料</t>
        </is>
      </c>
    </row>
    <row r="4">
      <c r="A4" s="8" t="inlineStr">
        <is>
          <t>排名</t>
        </is>
      </c>
      <c r="B4" s="8" t="inlineStr">
        <is>
          <t>Material</t>
        </is>
      </c>
      <c r="C4" s="8" t="inlineStr">
        <is>
          <t>物料行</t>
        </is>
      </c>
      <c r="D4" s="8" t="inlineStr">
        <is>
          <t>Delivery</t>
        </is>
      </c>
      <c r="E4" s="8" t="inlineStr">
        <is>
          <t>客户数</t>
        </is>
      </c>
      <c r="F4" s="8" t="inlineStr">
        <is>
          <t>净重KG</t>
        </is>
      </c>
      <c r="G4" s="8" t="inlineStr">
        <is>
          <t>占总量%</t>
        </is>
      </c>
      <c r="H4" s="8" t="inlineStr">
        <is>
          <t>温控要求</t>
        </is>
      </c>
      <c r="I4" s="8" t="inlineStr">
        <is>
          <t>物料类型标签</t>
        </is>
      </c>
    </row>
    <row r="5">
      <c r="A5" s="23" t="n">
        <v>1</v>
      </c>
      <c r="B5" s="24" t="inlineStr">
        <is>
          <t>34020.7035.W.5W3</t>
        </is>
      </c>
      <c r="C5" s="24" t="n">
        <v>13</v>
      </c>
      <c r="D5" s="24" t="n">
        <v>13</v>
      </c>
      <c r="E5" s="24" t="n">
        <v>1</v>
      </c>
      <c r="F5" s="25" t="n">
        <v>67500</v>
      </c>
      <c r="G5" s="26" t="n">
        <v>0.1258818419322038</v>
      </c>
      <c r="H5" s="24" t="inlineStr">
        <is>
          <t>35℃以上/0℃以下保温</t>
        </is>
      </c>
      <c r="I5" s="24" t="inlineStr">
        <is>
          <t>大单专用料</t>
        </is>
      </c>
    </row>
    <row r="6">
      <c r="A6" s="29" t="n">
        <v>2</v>
      </c>
      <c r="B6" s="30" t="inlineStr">
        <is>
          <t>75724.0988.D.760</t>
        </is>
      </c>
      <c r="C6" s="30" t="n">
        <v>187</v>
      </c>
      <c r="D6" s="30" t="n">
        <v>183</v>
      </c>
      <c r="E6" s="30" t="n">
        <v>26</v>
      </c>
      <c r="F6" s="31" t="n">
        <v>40420</v>
      </c>
      <c r="G6" s="32" t="n">
        <v>0.07537991186518044</v>
      </c>
      <c r="H6" s="30" t="inlineStr">
        <is>
          <t>30℃以上/0℃以下保温</t>
        </is>
      </c>
      <c r="I6" s="30" t="inlineStr">
        <is>
          <t>广谱高频料</t>
        </is>
      </c>
    </row>
    <row r="7">
      <c r="A7" s="16" t="n">
        <v>3</v>
      </c>
      <c r="B7" s="17" t="inlineStr">
        <is>
          <t>31240.7031.5.013</t>
        </is>
      </c>
      <c r="C7" s="17" t="n">
        <v>34</v>
      </c>
      <c r="D7" s="17" t="n">
        <v>34</v>
      </c>
      <c r="E7" s="17" t="n">
        <v>5</v>
      </c>
      <c r="F7" s="18" t="n">
        <v>33325</v>
      </c>
      <c r="G7" s="22" t="n">
        <v>0.06214833159097323</v>
      </c>
      <c r="H7" s="17" t="inlineStr">
        <is>
          <t>35℃以上/0℃以下保温</t>
        </is>
      </c>
      <c r="I7" s="17" t="inlineStr">
        <is>
          <t>35℃常规料</t>
        </is>
      </c>
    </row>
    <row r="8">
      <c r="A8" s="12" t="n">
        <v>4</v>
      </c>
      <c r="B8" s="13" t="inlineStr">
        <is>
          <t>37266.9005.3.013</t>
        </is>
      </c>
      <c r="C8" s="13" t="n">
        <v>19</v>
      </c>
      <c r="D8" s="13" t="n">
        <v>19</v>
      </c>
      <c r="E8" s="13" t="n">
        <v>2</v>
      </c>
      <c r="F8" s="14" t="n">
        <v>26475</v>
      </c>
      <c r="G8" s="27" t="n">
        <v>0.04937365578007551</v>
      </c>
      <c r="H8" s="13" t="inlineStr">
        <is>
          <t>35℃以上/0℃以下保温</t>
        </is>
      </c>
      <c r="I8" s="13" t="inlineStr">
        <is>
          <t>35℃常规料</t>
        </is>
      </c>
    </row>
    <row r="9">
      <c r="A9" s="29" t="n">
        <v>5</v>
      </c>
      <c r="B9" s="30" t="inlineStr">
        <is>
          <t>60518.0000.0.650</t>
        </is>
      </c>
      <c r="C9" s="30" t="n">
        <v>282</v>
      </c>
      <c r="D9" s="30" t="n">
        <v>276</v>
      </c>
      <c r="E9" s="30" t="n">
        <v>47</v>
      </c>
      <c r="F9" s="31" t="n">
        <v>26015</v>
      </c>
      <c r="G9" s="32" t="n">
        <v>0.04851579433875975</v>
      </c>
      <c r="H9" s="30" t="inlineStr">
        <is>
          <t>30℃以上/0℃以下保温</t>
        </is>
      </c>
      <c r="I9" s="30" t="inlineStr">
        <is>
          <t>广谱高频料</t>
        </is>
      </c>
    </row>
    <row r="10">
      <c r="A10" s="29" t="n">
        <v>6</v>
      </c>
      <c r="B10" s="30" t="inlineStr">
        <is>
          <t>34577.0000.0.002</t>
        </is>
      </c>
      <c r="C10" s="30" t="n">
        <v>170</v>
      </c>
      <c r="D10" s="30" t="n">
        <v>170</v>
      </c>
      <c r="E10" s="30" t="n">
        <v>48</v>
      </c>
      <c r="F10" s="31" t="n">
        <v>18222</v>
      </c>
      <c r="G10" s="32" t="n">
        <v>0.03398250257316471</v>
      </c>
      <c r="H10" s="30" t="inlineStr">
        <is>
          <t>35℃以上/0℃以下保温</t>
        </is>
      </c>
      <c r="I10" s="30" t="inlineStr">
        <is>
          <t>广谱高频料</t>
        </is>
      </c>
    </row>
    <row r="11">
      <c r="A11" s="23" t="n">
        <v>7</v>
      </c>
      <c r="B11" s="24" t="inlineStr">
        <is>
          <t>34577.0000.0.5W5</t>
        </is>
      </c>
      <c r="C11" s="24" t="n">
        <v>9</v>
      </c>
      <c r="D11" s="24" t="n">
        <v>9</v>
      </c>
      <c r="E11" s="24" t="n">
        <v>1</v>
      </c>
      <c r="F11" s="25" t="n">
        <v>17600</v>
      </c>
      <c r="G11" s="26" t="n">
        <v>0.03282252471121167</v>
      </c>
      <c r="H11" s="24" t="inlineStr">
        <is>
          <t>35℃以上/0℃以下保温</t>
        </is>
      </c>
      <c r="I11" s="24" t="inlineStr">
        <is>
          <t>大单专用料</t>
        </is>
      </c>
    </row>
    <row r="12">
      <c r="A12" s="23" t="n">
        <v>8</v>
      </c>
      <c r="B12" s="24" t="inlineStr">
        <is>
          <t>340GG.7035.W.311</t>
        </is>
      </c>
      <c r="C12" s="24" t="n">
        <v>13</v>
      </c>
      <c r="D12" s="24" t="n">
        <v>13</v>
      </c>
      <c r="E12" s="24" t="n">
        <v>1</v>
      </c>
      <c r="F12" s="25" t="n">
        <v>17500</v>
      </c>
      <c r="G12" s="26" t="n">
        <v>0.03263603309353433</v>
      </c>
      <c r="H12" s="24" t="inlineStr">
        <is>
          <t>35℃以上/0℃以下保温</t>
        </is>
      </c>
      <c r="I12" s="24" t="inlineStr">
        <is>
          <t>大单专用料</t>
        </is>
      </c>
    </row>
    <row r="13">
      <c r="A13" s="16" t="n">
        <v>9</v>
      </c>
      <c r="B13" s="17" t="inlineStr">
        <is>
          <t>31334.7810.3.053</t>
        </is>
      </c>
      <c r="C13" s="17" t="n">
        <v>62</v>
      </c>
      <c r="D13" s="17" t="n">
        <v>62</v>
      </c>
      <c r="E13" s="17" t="n">
        <v>17</v>
      </c>
      <c r="F13" s="18" t="n">
        <v>16848</v>
      </c>
      <c r="G13" s="22" t="n">
        <v>0.03142010774627808</v>
      </c>
      <c r="H13" s="17" t="inlineStr">
        <is>
          <t>35℃以上/0℃以下保温</t>
        </is>
      </c>
      <c r="I13" s="17" t="inlineStr">
        <is>
          <t>35℃常规料</t>
        </is>
      </c>
    </row>
    <row r="14">
      <c r="A14" s="12" t="n">
        <v>10</v>
      </c>
      <c r="B14" s="13" t="inlineStr">
        <is>
          <t>340GG.7035.W.243</t>
        </is>
      </c>
      <c r="C14" s="13" t="n">
        <v>11</v>
      </c>
      <c r="D14" s="13" t="n">
        <v>11</v>
      </c>
      <c r="E14" s="13" t="n">
        <v>5</v>
      </c>
      <c r="F14" s="14" t="n">
        <v>15990</v>
      </c>
      <c r="G14" s="27" t="n">
        <v>0.02982000966660651</v>
      </c>
      <c r="H14" s="13" t="inlineStr">
        <is>
          <t>35℃以上/0℃以下保温</t>
        </is>
      </c>
      <c r="I14" s="13" t="inlineStr">
        <is>
          <t>35℃常规料</t>
        </is>
      </c>
    </row>
    <row r="15">
      <c r="A15" s="16" t="n">
        <v>11</v>
      </c>
      <c r="B15" s="17" t="inlineStr">
        <is>
          <t>75725.0988.D.760</t>
        </is>
      </c>
      <c r="C15" s="17" t="n">
        <v>99</v>
      </c>
      <c r="D15" s="17" t="n">
        <v>98</v>
      </c>
      <c r="E15" s="17" t="n">
        <v>15</v>
      </c>
      <c r="F15" s="18" t="n">
        <v>12520</v>
      </c>
      <c r="G15" s="22" t="n">
        <v>0.02334875053320285</v>
      </c>
      <c r="H15" s="17" t="inlineStr">
        <is>
          <t>30℃以上/0℃以下保温</t>
        </is>
      </c>
      <c r="I15" s="17" t="inlineStr">
        <is>
          <t>30℃体系料</t>
        </is>
      </c>
    </row>
    <row r="16">
      <c r="A16" s="12" t="n">
        <v>12</v>
      </c>
      <c r="B16" s="13" t="inlineStr">
        <is>
          <t>31255.341G.9.024</t>
        </is>
      </c>
      <c r="C16" s="13" t="n">
        <v>34</v>
      </c>
      <c r="D16" s="13" t="n">
        <v>34</v>
      </c>
      <c r="E16" s="13" t="n">
        <v>7</v>
      </c>
      <c r="F16" s="14" t="n">
        <v>8880</v>
      </c>
      <c r="G16" s="27" t="n">
        <v>0.01656045564974771</v>
      </c>
      <c r="H16" s="13" t="inlineStr">
        <is>
          <t>35℃以上/0℃以下保温</t>
        </is>
      </c>
      <c r="I16" s="13" t="inlineStr">
        <is>
          <t>35℃常规料</t>
        </is>
      </c>
    </row>
    <row r="17">
      <c r="A17" s="16" t="n">
        <v>13</v>
      </c>
      <c r="B17" s="17" t="inlineStr">
        <is>
          <t>31229.9005.5.448</t>
        </is>
      </c>
      <c r="C17" s="17" t="n">
        <v>15</v>
      </c>
      <c r="D17" s="17" t="n">
        <v>15</v>
      </c>
      <c r="E17" s="17" t="n">
        <v>1</v>
      </c>
      <c r="F17" s="18" t="n">
        <v>8100</v>
      </c>
      <c r="G17" s="22" t="n">
        <v>0.01510582103186446</v>
      </c>
      <c r="H17" s="17" t="inlineStr">
        <is>
          <t>35℃以上/0℃以下保温</t>
        </is>
      </c>
      <c r="I17" s="17" t="inlineStr">
        <is>
          <t>35℃常规料</t>
        </is>
      </c>
    </row>
    <row r="18">
      <c r="A18" s="12" t="n">
        <v>14</v>
      </c>
      <c r="B18" s="13" t="inlineStr">
        <is>
          <t>34937.929M.H.024</t>
        </is>
      </c>
      <c r="C18" s="13" t="n">
        <v>16</v>
      </c>
      <c r="D18" s="13" t="n">
        <v>16</v>
      </c>
      <c r="E18" s="13" t="n">
        <v>3</v>
      </c>
      <c r="F18" s="14" t="n">
        <v>6890</v>
      </c>
      <c r="G18" s="27" t="n">
        <v>0.01284927245796866</v>
      </c>
      <c r="H18" s="13" t="inlineStr">
        <is>
          <t>35℃以上/0℃以下保温</t>
        </is>
      </c>
      <c r="I18" s="13" t="inlineStr">
        <is>
          <t>35℃常规料</t>
        </is>
      </c>
    </row>
    <row r="19">
      <c r="A19" s="16" t="n">
        <v>15</v>
      </c>
      <c r="B19" s="17" t="inlineStr">
        <is>
          <t>3496A.7038.5.024</t>
        </is>
      </c>
      <c r="C19" s="17" t="n">
        <v>31</v>
      </c>
      <c r="D19" s="17" t="n">
        <v>31</v>
      </c>
      <c r="E19" s="17" t="n">
        <v>7</v>
      </c>
      <c r="F19" s="18" t="n">
        <v>6340</v>
      </c>
      <c r="G19" s="22" t="n">
        <v>0.0118235685607433</v>
      </c>
      <c r="H19" s="17" t="inlineStr">
        <is>
          <t>35℃以上/0℃以下保温</t>
        </is>
      </c>
      <c r="I19" s="17" t="inlineStr">
        <is>
          <t>35℃常规料</t>
        </is>
      </c>
    </row>
    <row r="20">
      <c r="A20" s="12" t="n">
        <v>16</v>
      </c>
      <c r="B20" s="13" t="inlineStr">
        <is>
          <t>31299.5010.5.013</t>
        </is>
      </c>
      <c r="C20" s="13" t="n">
        <v>28</v>
      </c>
      <c r="D20" s="13" t="n">
        <v>26</v>
      </c>
      <c r="E20" s="13" t="n">
        <v>3</v>
      </c>
      <c r="F20" s="14" t="n">
        <v>6275</v>
      </c>
      <c r="G20" s="27" t="n">
        <v>0.01170234900925302</v>
      </c>
      <c r="H20" s="13" t="inlineStr">
        <is>
          <t>35℃以上/0℃以下保温</t>
        </is>
      </c>
      <c r="I20" s="13" t="inlineStr">
        <is>
          <t>35℃常规料</t>
        </is>
      </c>
    </row>
    <row r="21">
      <c r="A21" s="16" t="n">
        <v>17</v>
      </c>
      <c r="B21" s="17" t="inlineStr">
        <is>
          <t>34937.929M.U.024</t>
        </is>
      </c>
      <c r="C21" s="17" t="n">
        <v>22</v>
      </c>
      <c r="D21" s="17" t="n">
        <v>22</v>
      </c>
      <c r="E21" s="17" t="n">
        <v>1</v>
      </c>
      <c r="F21" s="18" t="n">
        <v>6190</v>
      </c>
      <c r="G21" s="22" t="n">
        <v>0.01154383113422729</v>
      </c>
      <c r="H21" s="17" t="inlineStr">
        <is>
          <t>35℃以上/0℃以下保温</t>
        </is>
      </c>
      <c r="I21" s="17" t="inlineStr">
        <is>
          <t>35℃常规料</t>
        </is>
      </c>
    </row>
    <row r="22">
      <c r="A22" s="12" t="n">
        <v>18</v>
      </c>
      <c r="B22" s="13" t="inlineStr">
        <is>
          <t>34977.92GT.C.024</t>
        </is>
      </c>
      <c r="C22" s="13" t="n">
        <v>20</v>
      </c>
      <c r="D22" s="13" t="n">
        <v>19</v>
      </c>
      <c r="E22" s="13" t="n">
        <v>5</v>
      </c>
      <c r="F22" s="14" t="n">
        <v>5990</v>
      </c>
      <c r="G22" s="27" t="n">
        <v>0.01117084789887261</v>
      </c>
      <c r="H22" s="13" t="inlineStr">
        <is>
          <t>35℃以上/0℃以下保温</t>
        </is>
      </c>
      <c r="I22" s="13" t="inlineStr">
        <is>
          <t>35℃常规料</t>
        </is>
      </c>
    </row>
    <row r="23">
      <c r="A23" s="16" t="n">
        <v>19</v>
      </c>
      <c r="B23" s="17" t="inlineStr">
        <is>
          <t>345GG.0000.0.040</t>
        </is>
      </c>
      <c r="C23" s="17" t="n">
        <v>11</v>
      </c>
      <c r="D23" s="17" t="n">
        <v>11</v>
      </c>
      <c r="E23" s="17" t="n">
        <v>1</v>
      </c>
      <c r="F23" s="18" t="n">
        <v>5600</v>
      </c>
      <c r="G23" s="22" t="n">
        <v>0.01044353058993099</v>
      </c>
      <c r="H23" s="17" t="inlineStr">
        <is>
          <t>35℃以上/0℃以下保温</t>
        </is>
      </c>
      <c r="I23" s="17" t="inlineStr">
        <is>
          <t>35℃常规料</t>
        </is>
      </c>
    </row>
    <row r="24">
      <c r="A24" s="12" t="n">
        <v>20</v>
      </c>
      <c r="B24" s="13" t="inlineStr">
        <is>
          <t>34946.92DF.C.024</t>
        </is>
      </c>
      <c r="C24" s="13" t="n">
        <v>29</v>
      </c>
      <c r="D24" s="13" t="n">
        <v>29</v>
      </c>
      <c r="E24" s="13" t="n">
        <v>7</v>
      </c>
      <c r="F24" s="14" t="n">
        <v>5560</v>
      </c>
      <c r="G24" s="27" t="n">
        <v>0.01036893394286005</v>
      </c>
      <c r="H24" s="13" t="inlineStr">
        <is>
          <t>35℃以上/0℃以下保温</t>
        </is>
      </c>
      <c r="I24" s="13" t="inlineStr">
        <is>
          <t>35℃常规料</t>
        </is>
      </c>
    </row>
    <row r="25">
      <c r="A25" s="16" t="n">
        <v>21</v>
      </c>
      <c r="B25" s="17" t="inlineStr">
        <is>
          <t>31299.7031.5.013</t>
        </is>
      </c>
      <c r="C25" s="17" t="n">
        <v>26</v>
      </c>
      <c r="D25" s="17" t="n">
        <v>26</v>
      </c>
      <c r="E25" s="17" t="n">
        <v>3</v>
      </c>
      <c r="F25" s="18" t="n">
        <v>5550</v>
      </c>
      <c r="G25" s="22" t="n">
        <v>0.01035028478109232</v>
      </c>
      <c r="H25" s="17" t="inlineStr">
        <is>
          <t>35℃以上/0℃以下保温</t>
        </is>
      </c>
      <c r="I25" s="17" t="inlineStr">
        <is>
          <t>35℃常规料</t>
        </is>
      </c>
    </row>
    <row r="26">
      <c r="A26" s="12" t="n">
        <v>22</v>
      </c>
      <c r="B26" s="13" t="inlineStr">
        <is>
          <t>345GG.0000.0.002</t>
        </is>
      </c>
      <c r="C26" s="13" t="n">
        <v>12</v>
      </c>
      <c r="D26" s="13" t="n">
        <v>12</v>
      </c>
      <c r="E26" s="13" t="n">
        <v>5</v>
      </c>
      <c r="F26" s="14" t="n">
        <v>5436</v>
      </c>
      <c r="G26" s="27" t="n">
        <v>0.01013768433694015</v>
      </c>
      <c r="H26" s="13" t="inlineStr">
        <is>
          <t>35℃以上/0℃以下保温</t>
        </is>
      </c>
      <c r="I26" s="13" t="inlineStr">
        <is>
          <t>35℃常规料</t>
        </is>
      </c>
    </row>
    <row r="27">
      <c r="A27" s="16" t="n">
        <v>23</v>
      </c>
      <c r="B27" s="17" t="inlineStr">
        <is>
          <t>34336.9201.1.024</t>
        </is>
      </c>
      <c r="C27" s="17" t="n">
        <v>28</v>
      </c>
      <c r="D27" s="17" t="n">
        <v>28</v>
      </c>
      <c r="E27" s="17" t="n">
        <v>7</v>
      </c>
      <c r="F27" s="18" t="n">
        <v>5430</v>
      </c>
      <c r="G27" s="22" t="n">
        <v>0.01012649483987951</v>
      </c>
      <c r="H27" s="17" t="inlineStr">
        <is>
          <t>35℃以上/0℃以下保温</t>
        </is>
      </c>
      <c r="I27" s="17" t="inlineStr">
        <is>
          <t>35℃常规料</t>
        </is>
      </c>
    </row>
    <row r="28">
      <c r="A28" s="12" t="n">
        <v>24</v>
      </c>
      <c r="B28" s="13" t="inlineStr">
        <is>
          <t>3494B.92HJ.1.024</t>
        </is>
      </c>
      <c r="C28" s="13" t="n">
        <v>17</v>
      </c>
      <c r="D28" s="13" t="n">
        <v>17</v>
      </c>
      <c r="E28" s="13" t="n">
        <v>5</v>
      </c>
      <c r="F28" s="14" t="n">
        <v>5270</v>
      </c>
      <c r="G28" s="27" t="n">
        <v>0.009828108251595767</v>
      </c>
      <c r="H28" s="13" t="inlineStr">
        <is>
          <t>35℃以上/0℃以下保温</t>
        </is>
      </c>
      <c r="I28" s="13" t="inlineStr">
        <is>
          <t>35℃常规料</t>
        </is>
      </c>
    </row>
    <row r="29">
      <c r="A29" s="16" t="n">
        <v>25</v>
      </c>
      <c r="B29" s="17" t="inlineStr">
        <is>
          <t>31268.9005.H.053</t>
        </is>
      </c>
      <c r="C29" s="17" t="n">
        <v>7</v>
      </c>
      <c r="D29" s="17" t="n">
        <v>7</v>
      </c>
      <c r="E29" s="17" t="n">
        <v>1</v>
      </c>
      <c r="F29" s="18" t="n">
        <v>5160</v>
      </c>
      <c r="G29" s="22" t="n">
        <v>0.009622967472150693</v>
      </c>
      <c r="H29" s="17" t="inlineStr">
        <is>
          <t>35℃以上/0℃以下保温</t>
        </is>
      </c>
      <c r="I29" s="17" t="inlineStr">
        <is>
          <t>35℃常规料</t>
        </is>
      </c>
    </row>
    <row r="30">
      <c r="A30" s="12" t="n">
        <v>26</v>
      </c>
      <c r="B30" s="13" t="inlineStr">
        <is>
          <t>31240.9005.5.013</t>
        </is>
      </c>
      <c r="C30" s="13" t="n">
        <v>10</v>
      </c>
      <c r="D30" s="13" t="n">
        <v>10</v>
      </c>
      <c r="E30" s="13" t="n">
        <v>6</v>
      </c>
      <c r="F30" s="14" t="n">
        <v>4925</v>
      </c>
      <c r="G30" s="27" t="n">
        <v>0.009184712170608946</v>
      </c>
      <c r="H30" s="13" t="inlineStr">
        <is>
          <t>35℃以上/0℃以下保温</t>
        </is>
      </c>
      <c r="I30" s="13" t="inlineStr">
        <is>
          <t>35℃常规料</t>
        </is>
      </c>
    </row>
    <row r="31">
      <c r="A31" s="16" t="n">
        <v>27</v>
      </c>
      <c r="B31" s="17" t="inlineStr">
        <is>
          <t>3726Z.9005.3.013</t>
        </is>
      </c>
      <c r="C31" s="17" t="n">
        <v>5</v>
      </c>
      <c r="D31" s="17" t="n">
        <v>5</v>
      </c>
      <c r="E31" s="17" t="n">
        <v>1</v>
      </c>
      <c r="F31" s="18" t="n">
        <v>4750</v>
      </c>
      <c r="G31" s="22" t="n">
        <v>0.008858351839673604</v>
      </c>
      <c r="H31" s="17" t="inlineStr">
        <is>
          <t>35℃以上/0℃以下保温</t>
        </is>
      </c>
      <c r="I31" s="17" t="inlineStr">
        <is>
          <t>35℃常规料</t>
        </is>
      </c>
    </row>
    <row r="32">
      <c r="A32" s="12" t="n">
        <v>28</v>
      </c>
      <c r="B32" s="13" t="inlineStr">
        <is>
          <t>3495G.91VP.5.020</t>
        </is>
      </c>
      <c r="C32" s="13" t="n">
        <v>28</v>
      </c>
      <c r="D32" s="13" t="n">
        <v>28</v>
      </c>
      <c r="E32" s="13" t="n">
        <v>11</v>
      </c>
      <c r="F32" s="14" t="n">
        <v>4164</v>
      </c>
      <c r="G32" s="27" t="n">
        <v>0.007765510960084397</v>
      </c>
      <c r="H32" s="13" t="inlineStr">
        <is>
          <t>35℃以上/0℃以下保温</t>
        </is>
      </c>
      <c r="I32" s="13" t="inlineStr">
        <is>
          <t>35℃常规料</t>
        </is>
      </c>
    </row>
    <row r="33">
      <c r="A33" s="16" t="n">
        <v>29</v>
      </c>
      <c r="B33" s="17" t="inlineStr">
        <is>
          <t>34936.90D3.T.013</t>
        </is>
      </c>
      <c r="C33" s="17" t="n">
        <v>14</v>
      </c>
      <c r="D33" s="17" t="n">
        <v>14</v>
      </c>
      <c r="E33" s="17" t="n">
        <v>2</v>
      </c>
      <c r="F33" s="18" t="n">
        <v>3975</v>
      </c>
      <c r="G33" s="22" t="n">
        <v>0.007413041802674226</v>
      </c>
      <c r="H33" s="17" t="inlineStr">
        <is>
          <t>35℃以上/0℃以下保温</t>
        </is>
      </c>
      <c r="I33" s="17" t="inlineStr">
        <is>
          <t>35℃常规料</t>
        </is>
      </c>
    </row>
    <row r="34">
      <c r="A34" s="29" t="n">
        <v>30</v>
      </c>
      <c r="B34" s="30" t="inlineStr">
        <is>
          <t>34550.0000.0.006</t>
        </is>
      </c>
      <c r="C34" s="30" t="n">
        <v>72</v>
      </c>
      <c r="D34" s="30" t="n">
        <v>72</v>
      </c>
      <c r="E34" s="30" t="n">
        <v>22</v>
      </c>
      <c r="F34" s="31" t="n">
        <v>3900</v>
      </c>
      <c r="G34" s="32" t="n">
        <v>0.007273173089416222</v>
      </c>
      <c r="H34" s="30" t="inlineStr">
        <is>
          <t>35℃以上/0℃以下保温</t>
        </is>
      </c>
      <c r="I34" s="30" t="inlineStr">
        <is>
          <t>广谱高频料</t>
        </is>
      </c>
    </row>
  </sheetData>
  <mergeCells count="1">
    <mergeCell ref="A1:G1"/>
  </mergeCells>
  <conditionalFormatting sqref="F5:F34">
    <cfRule type="dataBar" priority="1">
      <dataBar>
        <cfvo type="num" val="0"/>
        <cfvo type="max"/>
        <color rgb="0070AD47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/>
    </row>
    <row r="2">
      <c r="A2" s="3" t="inlineStr">
        <is>
          <t>一、数据来源</t>
        </is>
      </c>
    </row>
    <row r="3">
      <c r="A3" s="7" t="inlineStr">
        <is>
          <t>Notion Database：2025TCTRansport.csv</t>
        </is>
      </c>
    </row>
    <row r="4">
      <c r="A4" s="7" t="inlineStr">
        <is>
          <t>链接：https://app.notion.com/p/3b36f5d12cd6801b9800f1b15debf8f7</t>
        </is>
      </c>
    </row>
    <row r="5">
      <c r="A5" s="7" t="inlineStr"/>
    </row>
    <row r="6">
      <c r="A6" s="3" t="inlineStr">
        <is>
          <t>二、重要限制</t>
        </is>
      </c>
    </row>
    <row r="7">
      <c r="A7" s="7" t="inlineStr">
        <is>
          <t>1. 当前可查询提货日期为 2025-10-10 ~ 2025-12-30（约Q4），文件名虽含2025但不代表全年。</t>
        </is>
      </c>
    </row>
    <row r="8">
      <c r="A8" s="7" t="inlineStr">
        <is>
          <t>2. 因Notion查询额度限制，本仪表盘基于已成功拉取的汇总结果生成；客户Top25/运费Top20/物料Top30。</t>
        </is>
      </c>
    </row>
    <row r="9">
      <c r="A9" s="7" t="inlineStr">
        <is>
          <t>3. 黄色行=内部移库或关联仓 / 大单专用料；绿色行=广谱高频料。</t>
        </is>
      </c>
    </row>
    <row r="10">
      <c r="A10" s="7" t="inlineStr"/>
    </row>
    <row r="11">
      <c r="A11" s="3" t="inlineStr">
        <is>
          <t>三、口径</t>
        </is>
      </c>
    </row>
    <row r="12">
      <c r="A12" s="7" t="inlineStr">
        <is>
          <t>1. 净重：按物料行直接加总。</t>
        </is>
      </c>
    </row>
    <row r="13">
      <c r="A13" s="7" t="inlineStr">
        <is>
          <t>2. 运费：同一Delivery多行重复运费 → 按Delivery取一次后再按客户汇总。</t>
        </is>
      </c>
    </row>
    <row r="14">
      <c r="A14" s="7" t="inlineStr">
        <is>
          <t>3. 温控要求字段：物料需要保温（35℃档 / 30℃档）。</t>
        </is>
      </c>
    </row>
    <row r="15">
      <c r="A15" s="7" t="inlineStr"/>
    </row>
    <row r="16">
      <c r="A16" s="3" t="inlineStr">
        <is>
          <t>四、建议用法</t>
        </is>
      </c>
    </row>
    <row r="17">
      <c r="A17" s="7" t="inlineStr">
        <is>
          <t>1. 管理层：先看「仪表盘」页 KPI + 图表 + 关键洞察。</t>
        </is>
      </c>
    </row>
    <row r="18">
      <c r="A18" s="7" t="inlineStr">
        <is>
          <t>2. 销售/客服：看「客户_按净重」「客户_按运费」，区分终端 vs 内部移库。</t>
        </is>
      </c>
    </row>
    <row r="19">
      <c r="A19" s="7" t="inlineStr">
        <is>
          <t>3. 仓储/计划：看「物料_按净重」，优先温控库存覆盖广谱料+Top货量料。</t>
        </is>
      </c>
    </row>
    <row r="20">
      <c r="A20" s="7" t="inlineStr">
        <is>
          <t>4. 承运商谈判：关注移库线路与SEW多点网络打包。</t>
        </is>
      </c>
    </row>
    <row r="21">
      <c r="A21" s="7" t="inlineStr"/>
    </row>
    <row r="22">
      <c r="A22" s="3" t="inlineStr">
        <is>
          <t>五、与投资计划关联</t>
        </is>
      </c>
    </row>
    <row r="23">
      <c r="A23" s="7" t="inlineStr">
        <is>
          <t>5号甲类温控试点可优先覆盖：34020/31240/37266/60518/34577/75724 等Top料。</t>
        </is>
      </c>
    </row>
    <row r="24">
      <c r="A24" s="7" t="inlineStr">
        <is>
          <t>仓网：上海→长春移库运费显著，可作为外仓策略复盘输入。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2026-08-05T10:21:44Z</dcterms:created>
  <dcterms:modified xmlns:dcterms="http://purl.org/dc/terms/" xmlns:xsi="http://www.w3.org/2001/XMLSchema-instance" xsi:type="dcterms:W3CDTF">2026-08-05T10:21:44Z</dcterms:modified>
</cp:coreProperties>
</file>