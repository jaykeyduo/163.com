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读我" sheetId="1" state="visible" r:id="rId1"/>
    <sheet name="01-产量与驱动" sheetId="2" state="visible" r:id="rId2"/>
    <sheet name="02-四类科目映射" sheetId="3" state="visible" r:id="rId3"/>
    <sheet name="03-2027月度四类" sheetId="4" state="visible" r:id="rId4"/>
    <sheet name="04-2026迁线一次性" sheetId="5" state="visible" r:id="rId5"/>
    <sheet name="05-待确认清单" sheetId="6" state="visible" r:id="rId6"/>
  </sheets>
  <definedNames>
    <definedName name="_xlnm._FilterDatabase" localSheetId="2" hidden="1">'02-四类科目映射'!$A$1:$F$22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4CC"/>
      </patternFill>
    </fill>
    <fill>
      <patternFill patternType="solid">
        <fgColor rgb="00D6EAF8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4" borderId="1" pivotButton="0" quotePrefix="0" xfId="0"/>
    <xf numFmtId="2" fontId="3" fillId="5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3" fontId="2" fillId="2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 ht="24" customHeight="1">
      <c r="A1" s="1" t="inlineStr">
        <is>
          <t>金山工厂物流成本预算框架（给财务四类：运费 / 外仓 / 进口手续费 / 其他）</t>
        </is>
      </c>
    </row>
    <row r="2">
      <c r="A2" s="2" t="inlineStr">
        <is>
          <t>项</t>
        </is>
      </c>
      <c r="B2" s="2" t="inlineStr">
        <is>
          <t>说明</t>
        </is>
      </c>
    </row>
    <row r="3" ht="48" customHeight="1">
      <c r="A3" s="3" t="inlineStr">
        <is>
          <t>用途</t>
        </is>
      </c>
      <c r="B3" s="3" t="inlineStr">
        <is>
          <t>正确往下做月度预算的驱动结构。产量未按月锁定前，不填假精确 RMB。</t>
        </is>
      </c>
    </row>
    <row r="4" ht="48" customHeight="1">
      <c r="A4" s="3" t="inlineStr">
        <is>
          <t>财务假设</t>
        </is>
      </c>
      <c r="B4" s="3" t="inlineStr">
        <is>
          <t>2026 年底现有产线或迁独山；2027 开启 Chromate &amp; Silicone 本地生产。</t>
        </is>
      </c>
    </row>
    <row r="5" ht="48" customHeight="1">
      <c r="A5" s="3" t="inlineStr">
        <is>
          <t>产量口径（已有、待 MP 月分解）</t>
        </is>
      </c>
      <c r="B5" s="3" t="inlineStr">
        <is>
          <t>Alex 2026-08：含硅 72 T/年 + 含铬 400 T/年 = 472 T/年成品，约 39 T/月（均匀假设）。</t>
        </is>
      </c>
    </row>
    <row r="6" ht="48" customHeight="1">
      <c r="A6" s="3" t="inlineStr">
        <is>
          <t>真正卡住运费的缺口</t>
        </is>
      </c>
      <c r="B6" s="3" t="inlineStr">
        <is>
          <t>472 T 是成品产量，不是进口原料吨。缺：BOM、进口 vs 国产原料占比、到港卸点（洋山→金山 还是 先独山再调拨）。</t>
        </is>
      </c>
    </row>
    <row r="7" ht="48" customHeight="1">
      <c r="A7" s="3" t="inlineStr">
        <is>
          <t>CIF 口径</t>
        </is>
      </c>
      <c r="B7" s="3" t="inlineStr">
        <is>
          <t>德→中空运/海运由德国指定、CIF。国际段运费通常在采购价里，不进中国「运费」科目。中国运费=到港后内陆+国内配送+独山↔金山调拨。须财务书面确认。</t>
        </is>
      </c>
    </row>
    <row r="8" ht="48" customHeight="1">
      <c r="A8" s="3" t="inlineStr">
        <is>
          <t>外仓口径（已定）</t>
        </is>
      </c>
      <c r="B8" s="3" t="inlineStr">
        <is>
          <t>金山自有仓，不租外仓。本列填 0。叉车采购与仓操作人员进「其他」，不要塞进外仓。长春/沧州外仓仅汽车，C&amp;S 成品是否走外仓待销售确认，默认不进本预算。</t>
        </is>
      </c>
    </row>
    <row r="9" ht="48" customHeight="1">
      <c r="A9" s="3" t="inlineStr">
        <is>
          <t>两套时间</t>
        </is>
      </c>
      <c r="B9" s="3" t="inlineStr">
        <is>
          <t>2026 Q4：现有产线迁独山=一次性搬迁物流，不是 2027 运行费率。2027：C&amp;S 投产月度运行成本。</t>
        </is>
      </c>
    </row>
    <row r="10" ht="48" customHeight="1">
      <c r="A10" s="3" t="inlineStr">
        <is>
          <t>事实源</t>
        </is>
      </c>
      <c r="B10" s="3" t="inlineStr">
        <is>
          <t>projects/2026-08-jinshan-wh-restart.md；knowledge/01-company、03-network、04-operations。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2" customWidth="1" min="3" max="3"/>
    <col width="16" customWidth="1" min="4" max="4"/>
    <col width="28" customWidth="1" min="5" max="5"/>
  </cols>
  <sheetData>
    <row r="1">
      <c r="A1" s="2" t="inlineStr">
        <is>
          <t>驱动</t>
        </is>
      </c>
      <c r="B1" s="2" t="inlineStr">
        <is>
          <t>建议值 / 公式</t>
        </is>
      </c>
      <c r="C1" s="2" t="inlineStr">
        <is>
          <t>状态</t>
        </is>
      </c>
      <c r="D1" s="2" t="inlineStr">
        <is>
          <t>Owner</t>
        </is>
      </c>
      <c r="E1" s="2" t="inlineStr">
        <is>
          <t>不填会怎样</t>
        </is>
      </c>
    </row>
    <row r="2">
      <c r="A2" s="3" t="inlineStr">
        <is>
          <t>成品年产量 含硅 T</t>
        </is>
      </c>
      <c r="B2" s="3" t="inlineStr">
        <is>
          <t>72</t>
        </is>
      </c>
      <c r="C2" s="3" t="inlineStr">
        <is>
          <t>已有（Alex 2026-08）</t>
        </is>
      </c>
      <c r="D2" s="3" t="inlineStr">
        <is>
          <t>生产</t>
        </is>
      </c>
      <c r="E2" s="3" t="inlineStr">
        <is>
          <t>无月计划则只能均匀摊 6 T/月</t>
        </is>
      </c>
    </row>
    <row r="3">
      <c r="A3" s="3" t="inlineStr">
        <is>
          <t>成品年产量 含铬 T</t>
        </is>
      </c>
      <c r="B3" s="3" t="inlineStr">
        <is>
          <t>400</t>
        </is>
      </c>
      <c r="C3" s="3" t="inlineStr">
        <is>
          <t>已有（Alex 2026-08）</t>
        </is>
      </c>
      <c r="D3" s="3" t="inlineStr">
        <is>
          <t>生产</t>
        </is>
      </c>
      <c r="E3" s="3" t="inlineStr">
        <is>
          <t>均匀摊 ~33 T/月</t>
        </is>
      </c>
    </row>
    <row r="4">
      <c r="A4" s="3" t="inlineStr">
        <is>
          <t>合计成品 T/年</t>
        </is>
      </c>
      <c r="B4" s="3">
        <f>B2+B3</f>
        <v/>
      </c>
      <c r="C4" s="4" t="inlineStr">
        <is>
          <t>由上两项</t>
        </is>
      </c>
      <c r="D4" s="3" t="inlineStr">
        <is>
          <t>生产</t>
        </is>
      </c>
      <c r="E4" s="3" t="inlineStr"/>
    </row>
    <row r="5">
      <c r="A5" s="3" t="inlineStr">
        <is>
          <t>2027 月产量曲线</t>
        </is>
      </c>
      <c r="B5" s="3" t="inlineStr">
        <is>
          <t>待填 12 个数；暂可 =B4/12</t>
        </is>
      </c>
      <c r="C5" s="3" t="inlineStr">
        <is>
          <t>缺</t>
        </is>
      </c>
      <c r="D5" s="3" t="inlineStr">
        <is>
          <t>计划 MP</t>
        </is>
      </c>
      <c r="E5" s="3" t="inlineStr">
        <is>
          <t>运费/手续费无法按月</t>
        </is>
      </c>
    </row>
    <row r="6">
      <c r="A6" s="3" t="inlineStr">
        <is>
          <t>原料投入系数（原料T / 成品T）</t>
        </is>
      </c>
      <c r="B6" s="3" t="inlineStr">
        <is>
          <t>待工艺 BOM</t>
        </is>
      </c>
      <c r="C6" s="3" t="inlineStr">
        <is>
          <t>缺</t>
        </is>
      </c>
      <c r="D6" s="3" t="inlineStr">
        <is>
          <t>生产/工艺</t>
        </is>
      </c>
      <c r="E6" s="3" t="inlineStr">
        <is>
          <t>有成品吨仍算不出原料吨</t>
        </is>
      </c>
    </row>
    <row r="7">
      <c r="A7" s="3" t="inlineStr">
        <is>
          <t>进口原料占比 %</t>
        </is>
      </c>
      <c r="B7" s="3" t="inlineStr">
        <is>
          <t>待采购：德国进口 vs 国内采购</t>
        </is>
      </c>
      <c r="C7" s="3" t="inlineStr">
        <is>
          <t>缺</t>
        </is>
      </c>
      <c r="D7" s="3" t="inlineStr">
        <is>
          <t>采购</t>
        </is>
      </c>
      <c r="E7" s="3" t="inlineStr">
        <is>
          <t>进口运费与手续费无法算</t>
        </is>
      </c>
    </row>
    <row r="8">
      <c r="A8" s="3" t="inlineStr">
        <is>
          <t>进口卸点</t>
        </is>
      </c>
      <c r="B8" s="3" t="inlineStr">
        <is>
          <t>洋山直送金山 / 先独山再调拨（二选一）</t>
        </is>
      </c>
      <c r="C8" s="3" t="inlineStr">
        <is>
          <t>缺</t>
        </is>
      </c>
      <c r="D8" s="3" t="inlineStr">
        <is>
          <t>物流+MP</t>
        </is>
      </c>
      <c r="E8" s="3" t="inlineStr">
        <is>
          <t>内陆运费差一倍搬运</t>
        </is>
      </c>
    </row>
    <row r="9">
      <c r="A9" s="3" t="inlineStr">
        <is>
          <t>CIF 国际运费是否进中国运费科目</t>
        </is>
      </c>
      <c r="B9" s="3" t="inlineStr">
        <is>
          <t>建议否（含在采购价）</t>
        </is>
      </c>
      <c r="C9" s="3" t="inlineStr">
        <is>
          <t>待财务书面</t>
        </is>
      </c>
      <c r="D9" s="3" t="inlineStr">
        <is>
          <t>财务</t>
        </is>
      </c>
      <c r="E9" s="3" t="inlineStr">
        <is>
          <t>与德国重复计算或漏计</t>
        </is>
      </c>
    </row>
    <row r="10">
      <c r="A10" s="3" t="inlineStr">
        <is>
          <t>关税/增值税是否进本表</t>
        </is>
      </c>
      <c r="B10" s="3" t="inlineStr">
        <is>
          <t>建议否（单独税项，不进四类）</t>
        </is>
      </c>
      <c r="C10" s="3" t="inlineStr">
        <is>
          <t>待财务书面</t>
        </is>
      </c>
      <c r="D10" s="3" t="inlineStr">
        <is>
          <t>财务</t>
        </is>
      </c>
      <c r="E10" s="3" t="inlineStr">
        <is>
          <t>四类被税撑爆，无法比物流</t>
        </is>
      </c>
    </row>
    <row r="11">
      <c r="A11" s="3" t="inlineStr">
        <is>
          <t>成品是否经长春/沧州外仓</t>
        </is>
      </c>
      <c r="B11" s="3" t="inlineStr">
        <is>
          <t>建议否（C&amp;S 非汽车卫星仓默认）</t>
        </is>
      </c>
      <c r="C11" s="3" t="inlineStr">
        <is>
          <t>待销售</t>
        </is>
      </c>
      <c r="D11" s="3" t="inlineStr">
        <is>
          <t>销售</t>
        </is>
      </c>
      <c r="E11" s="3" t="inlineStr">
        <is>
          <t>外仓列可能不该为 0</t>
        </is>
      </c>
    </row>
    <row r="12">
      <c r="A12" s="3" t="inlineStr">
        <is>
          <t>金山→客户配送模式</t>
        </is>
      </c>
      <c r="B12" s="3" t="inlineStr">
        <is>
          <t>公路危货零担（国内主模式）</t>
        </is>
      </c>
      <c r="C12" s="3" t="inlineStr">
        <is>
          <t>网络已运行</t>
        </is>
      </c>
      <c r="D12" s="3" t="inlineStr">
        <is>
          <t>物流</t>
        </is>
      </c>
      <c r="E12" s="3" t="inlineStr">
        <is>
          <t>缺客户结构则吨公里未知</t>
        </is>
      </c>
    </row>
    <row r="13">
      <c r="A13" s="3" t="inlineStr">
        <is>
          <t>仓常驻人数</t>
        </is>
      </c>
      <c r="B13" s="3" t="inlineStr">
        <is>
          <t>2（方案 A）；或 3（方案 B 不依赖独山 Backup）</t>
        </is>
      </c>
      <c r="C13" s="3" t="inlineStr">
        <is>
          <t>物流已建议</t>
        </is>
      </c>
      <c r="D13" s="3" t="inlineStr">
        <is>
          <t>物流/厂长</t>
        </is>
      </c>
      <c r="E13" s="3" t="inlineStr">
        <is>
          <t>其他-人力无法编</t>
        </is>
      </c>
    </row>
    <row r="14">
      <c r="A14" s="3" t="inlineStr">
        <is>
          <t>独山 Backup 人天/月</t>
        </is>
      </c>
      <c r="B14" s="3" t="inlineStr">
        <is>
          <t>待厂长锁定上限</t>
        </is>
      </c>
      <c r="C14" s="3" t="inlineStr">
        <is>
          <t>缺</t>
        </is>
      </c>
      <c r="D14" s="3" t="inlineStr">
        <is>
          <t>厂长</t>
        </is>
      </c>
      <c r="E14" s="3" t="inlineStr">
        <is>
          <t>成本中心扯皮</t>
        </is>
      </c>
    </row>
    <row r="15">
      <c r="A15" s="3" t="inlineStr">
        <is>
          <t>新前移式 1.4T</t>
        </is>
      </c>
      <c r="B15" s="3" t="inlineStr">
        <is>
          <t>1 台新购</t>
        </is>
      </c>
      <c r="C15" s="3" t="inlineStr">
        <is>
          <t>物流已建议</t>
        </is>
      </c>
      <c r="D15" s="3" t="inlineStr">
        <is>
          <t>物流/工程</t>
        </is>
      </c>
      <c r="E15" s="3" t="inlineStr">
        <is>
          <t>CapEx vs 折旧问财务</t>
        </is>
      </c>
    </row>
    <row r="16">
      <c r="A16" s="3" t="inlineStr">
        <is>
          <t>新平衡重</t>
        </is>
      </c>
      <c r="B16" s="3" t="inlineStr">
        <is>
          <t>1 台新购；吨位待工艺</t>
        </is>
      </c>
      <c r="C16" s="3" t="inlineStr">
        <is>
          <t>物流已建议</t>
        </is>
      </c>
      <c r="D16" s="3" t="inlineStr">
        <is>
          <t>生产定吨位</t>
        </is>
      </c>
      <c r="E16" s="3" t="inlineStr">
        <is>
          <t>错买/晚买</t>
        </is>
      </c>
    </row>
    <row r="17">
      <c r="A17" s="3" t="inlineStr">
        <is>
          <t>2015 前移</t>
        </is>
      </c>
      <c r="B17" s="3" t="inlineStr">
        <is>
          <t>过渡备用，不替代新车</t>
        </is>
      </c>
      <c r="C17" s="3" t="inlineStr">
        <is>
          <t>现役</t>
        </is>
      </c>
      <c r="D17" s="3" t="inlineStr">
        <is>
          <t>物流</t>
        </is>
      </c>
      <c r="E17" s="3" t="inlineStr">
        <is>
          <t>勿把旧车当产能</t>
        </is>
      </c>
    </row>
    <row r="18" ht="48" customHeight="1">
      <c r="A18" s="5" t="inlineStr">
        <is>
          <t>公式（有数后再填金额）：月进口原料吨 = 月成品吨 × 原料投入系数 × 进口原料占比。中国侧进口运费驱动=该吨数（到港后内陆）。手续费驱动=进口票数或票+吨（代理报价）。国内配送驱动=月成品吨×平均运距。</t>
        </is>
      </c>
      <c r="B18" s="6" t="n"/>
      <c r="C18" s="6" t="n"/>
      <c r="D18" s="6" t="n"/>
      <c r="E18" s="6" t="n"/>
    </row>
  </sheetData>
  <mergeCells count="1"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14" customWidth="1" min="4" max="4"/>
    <col width="48" customWidth="1" min="5" max="5"/>
    <col width="28" customWidth="1" min="6" max="6"/>
  </cols>
  <sheetData>
    <row r="1">
      <c r="A1" s="2" t="inlineStr">
        <is>
          <t>财务四类</t>
        </is>
      </c>
      <c r="B1" s="2" t="inlineStr">
        <is>
          <t>子项</t>
        </is>
      </c>
      <c r="C1" s="2" t="inlineStr">
        <is>
          <t>进本列？</t>
        </is>
      </c>
      <c r="D1" s="2" t="inlineStr">
        <is>
          <t>CapEx/OpEx</t>
        </is>
      </c>
      <c r="E1" s="2" t="inlineStr">
        <is>
          <t>物流建议</t>
        </is>
      </c>
      <c r="F1" s="2" t="inlineStr">
        <is>
          <t>缺什么才能填 RMB</t>
        </is>
      </c>
    </row>
    <row r="2">
      <c r="A2" s="3" t="inlineStr">
        <is>
          <t>运费</t>
        </is>
      </c>
      <c r="B2" s="3" t="inlineStr">
        <is>
          <t>CIF 汉堡/FRA→洋山/PVG 国际段</t>
        </is>
      </c>
      <c r="C2" s="4" t="inlineStr">
        <is>
          <t>默认否</t>
        </is>
      </c>
      <c r="D2" s="3" t="inlineStr">
        <is>
          <t>在采购价</t>
        </is>
      </c>
      <c r="E2" s="3" t="inlineStr">
        <is>
          <t>德国指定承运；中国物流不订舱。财务若要集团全成本，请另开「CIF 国际」备查列，不要与中国运费混加。</t>
        </is>
      </c>
      <c r="F2" s="5" t="inlineStr">
        <is>
          <t>财务确认科目</t>
        </is>
      </c>
    </row>
    <row r="3">
      <c r="A3" s="3" t="inlineStr">
        <is>
          <t>运费</t>
        </is>
      </c>
      <c r="B3" s="3" t="inlineStr">
        <is>
          <t>洋山/PVG→金山 进口内陆（危货公路）</t>
        </is>
      </c>
      <c r="C3" s="3" t="inlineStr">
        <is>
          <t>是</t>
        </is>
      </c>
      <c r="D3" s="3" t="inlineStr">
        <is>
          <t>OpEx</t>
        </is>
      </c>
      <c r="E3" s="3" t="inlineStr">
        <is>
          <t>C&amp;S 投产后的主进口运费。若先入独山再调拨，改记调拨运费。</t>
        </is>
      </c>
      <c r="F3" s="5" t="inlineStr">
        <is>
          <t>月进口吨 + 卸点 + 危货费率</t>
        </is>
      </c>
    </row>
    <row r="4">
      <c r="A4" s="3" t="inlineStr">
        <is>
          <t>运费</t>
        </is>
      </c>
      <c r="B4" s="3" t="inlineStr">
        <is>
          <t>金山→中国客户 成品配送</t>
        </is>
      </c>
      <c r="C4" s="3" t="inlineStr">
        <is>
          <t>是</t>
        </is>
      </c>
      <c r="D4" s="3" t="inlineStr">
        <is>
          <t>OpEx</t>
        </is>
      </c>
      <c r="E4" s="3" t="inlineStr">
        <is>
          <t>国内危货零担；温控如涉及 UV/水性另列。</t>
        </is>
      </c>
      <c r="F4" s="5" t="inlineStr">
        <is>
          <t>客户区域结构 + 月成品吨</t>
        </is>
      </c>
    </row>
    <row r="5">
      <c r="A5" s="3" t="inlineStr">
        <is>
          <t>运费</t>
        </is>
      </c>
      <c r="B5" s="3" t="inlineStr">
        <is>
          <t>金山↔独山 原料/半成品/包材调拨</t>
        </is>
      </c>
      <c r="C5" s="3" t="inlineStr">
        <is>
          <t>是（若发生）</t>
        </is>
      </c>
      <c r="D5" s="3" t="inlineStr">
        <is>
          <t>OpEx</t>
        </is>
      </c>
      <c r="E5" s="3" t="inlineStr">
        <is>
          <t>共用独山库存或包材时必有。含铬分区后尽量少调。</t>
        </is>
      </c>
      <c r="F5" s="5" t="inlineStr">
        <is>
          <t>调拨规则 + 月吨</t>
        </is>
      </c>
    </row>
    <row r="6">
      <c r="A6" s="3" t="inlineStr">
        <is>
          <t>运费</t>
        </is>
      </c>
      <c r="B6" s="3" t="inlineStr">
        <is>
          <t>2026 现有产线迁独山（设备/剩余库存）</t>
        </is>
      </c>
      <c r="C6" s="3" t="inlineStr">
        <is>
          <t>一次性，可单列 2026-12</t>
        </is>
      </c>
      <c r="D6" s="3" t="inlineStr">
        <is>
          <t>一次性</t>
        </is>
      </c>
      <c r="E6" s="3" t="inlineStr">
        <is>
          <t>不是 2027 运行费率。危货搬迁+特种设备。</t>
        </is>
      </c>
      <c r="F6" s="5" t="inlineStr">
        <is>
          <t>搬迁清单吨位/车次</t>
        </is>
      </c>
    </row>
    <row r="7">
      <c r="A7" s="3" t="inlineStr">
        <is>
          <t>运费</t>
        </is>
      </c>
      <c r="B7" s="3" t="inlineStr">
        <is>
          <t>紧急空运进口</t>
        </is>
      </c>
      <c r="C7" s="3" t="inlineStr">
        <is>
          <t>是（例外）</t>
        </is>
      </c>
      <c r="D7" s="3" t="inlineStr">
        <is>
          <t>OpEx</t>
        </is>
      </c>
      <c r="E7" s="3" t="inlineStr">
        <is>
          <t>不编进基线；单列应急。空运亦 CIF、德国指定。</t>
        </is>
      </c>
      <c r="F7" s="5" t="inlineStr">
        <is>
          <t>政策：是否允许</t>
        </is>
      </c>
    </row>
    <row r="8">
      <c r="A8" s="3" t="inlineStr">
        <is>
          <t>外仓</t>
        </is>
      </c>
      <c r="B8" s="3" t="inlineStr">
        <is>
          <t>金山厂内仓租赁</t>
        </is>
      </c>
      <c r="C8" s="4" t="inlineStr">
        <is>
          <t>否=0</t>
        </is>
      </c>
      <c r="D8" s="3" t="inlineStr">
        <is>
          <t>—</t>
        </is>
      </c>
      <c r="E8" s="3" t="inlineStr">
        <is>
          <t>自有空间，不租。</t>
        </is>
      </c>
      <c r="F8" s="3" t="inlineStr">
        <is>
          <t>无</t>
        </is>
      </c>
    </row>
    <row r="9">
      <c r="A9" s="3" t="inlineStr">
        <is>
          <t>外仓</t>
        </is>
      </c>
      <c r="B9" s="3" t="inlineStr">
        <is>
          <t>长春/沧州 3PL</t>
        </is>
      </c>
      <c r="C9" s="4" t="inlineStr">
        <is>
          <t>默认否=0</t>
        </is>
      </c>
      <c r="D9" s="3" t="inlineStr">
        <is>
          <t>OpEx 若启用</t>
        </is>
      </c>
      <c r="E9" s="3" t="inlineStr">
        <is>
          <t>现网仅汽车。C&amp;S 默认不进卫星仓。</t>
        </is>
      </c>
      <c r="F9" s="5" t="inlineStr">
        <is>
          <t>销售是否要求外仓</t>
        </is>
      </c>
    </row>
    <row r="10">
      <c r="A10" s="3" t="inlineStr">
        <is>
          <t>外仓</t>
        </is>
      </c>
      <c r="B10" s="3" t="inlineStr">
        <is>
          <t>港区/危库暂存超期</t>
        </is>
      </c>
      <c r="C10" s="3" t="inlineStr">
        <is>
          <t>其他或运费附带</t>
        </is>
      </c>
      <c r="D10" s="3" t="inlineStr">
        <is>
          <t>OpEx 异常</t>
        </is>
      </c>
      <c r="E10" s="3" t="inlineStr">
        <is>
          <t>设计为零；超期再进异常。</t>
        </is>
      </c>
      <c r="F10" s="5" t="inlineStr">
        <is>
          <t>不编基线</t>
        </is>
      </c>
    </row>
    <row r="11">
      <c r="A11" s="3" t="inlineStr">
        <is>
          <t>进口手续费</t>
        </is>
      </c>
      <c r="B11" s="3" t="inlineStr">
        <is>
          <t>报关代理 / 换单 / 港杂（CIF 到港后买方段）</t>
        </is>
      </c>
      <c r="C11" s="3" t="inlineStr">
        <is>
          <t>是</t>
        </is>
      </c>
      <c r="D11" s="3" t="inlineStr">
        <is>
          <t>OpEx</t>
        </is>
      </c>
      <c r="E11" s="3" t="inlineStr">
        <is>
          <t>CIF 不包含中国报关与港后费用。</t>
        </is>
      </c>
      <c r="F11" s="5" t="inlineStr">
        <is>
          <t>票数或吨 + 代理费率</t>
        </is>
      </c>
    </row>
    <row r="12">
      <c r="A12" s="3" t="inlineStr">
        <is>
          <t>进口手续费</t>
        </is>
      </c>
      <c r="B12" s="3" t="inlineStr">
        <is>
          <t>危化进口申报 / 查验陪同</t>
        </is>
      </c>
      <c r="C12" s="3" t="inlineStr">
        <is>
          <t>是</t>
        </is>
      </c>
      <c r="D12" s="3" t="inlineStr">
        <is>
          <t>OpEx</t>
        </is>
      </c>
      <c r="E12" s="3" t="inlineStr">
        <is>
          <t>含铬/含硅查验概率高于普通漆，费率可高于独山常规。</t>
        </is>
      </c>
      <c r="F12" s="5" t="inlineStr">
        <is>
          <t>代理报价</t>
        </is>
      </c>
    </row>
    <row r="13">
      <c r="A13" s="3" t="inlineStr">
        <is>
          <t>进口手续费</t>
        </is>
      </c>
      <c r="B13" s="3" t="inlineStr">
        <is>
          <t>关税、增值税、消费税</t>
        </is>
      </c>
      <c r="C13" s="3" t="inlineStr">
        <is>
          <t>建议不进本四类</t>
        </is>
      </c>
      <c r="D13" s="3" t="inlineStr">
        <is>
          <t>税</t>
        </is>
      </c>
      <c r="E13" s="3" t="inlineStr">
        <is>
          <t>请财务进税项；物流表只留手续费。</t>
        </is>
      </c>
      <c r="F13" s="5" t="inlineStr">
        <is>
          <t>HS + 完税价格</t>
        </is>
      </c>
    </row>
    <row r="14">
      <c r="A14" s="3" t="inlineStr">
        <is>
          <t>其他</t>
        </is>
      </c>
      <c r="B14" s="3" t="inlineStr">
        <is>
          <t>仓操作人员工资社保（常驻 2 人）</t>
        </is>
      </c>
      <c r="C14" s="3" t="inlineStr">
        <is>
          <t>是</t>
        </is>
      </c>
      <c r="D14" s="3" t="inlineStr">
        <is>
          <t>OpEx</t>
        </is>
      </c>
      <c r="E14" s="3" t="inlineStr">
        <is>
          <t>方案 A。方案 B=3 人则改 3。</t>
        </is>
      </c>
      <c r="F14" s="5" t="inlineStr">
        <is>
          <t>HR 人薪</t>
        </is>
      </c>
    </row>
    <row r="15">
      <c r="A15" s="3" t="inlineStr">
        <is>
          <t>其他</t>
        </is>
      </c>
      <c r="B15" s="3" t="inlineStr">
        <is>
          <t>独山 Backup 人天（费用进金山成本中心）</t>
        </is>
      </c>
      <c r="C15" s="3" t="inlineStr">
        <is>
          <t>是</t>
        </is>
      </c>
      <c r="D15" s="3" t="inlineStr">
        <is>
          <t>OpEx</t>
        </is>
      </c>
      <c r="E15" s="3" t="inlineStr">
        <is>
          <t>必须制度化，避免独山加班白送。</t>
        </is>
      </c>
      <c r="F15" s="5" t="inlineStr">
        <is>
          <t>人天上限 × 日费率</t>
        </is>
      </c>
    </row>
    <row r="16">
      <c r="A16" s="3" t="inlineStr">
        <is>
          <t>其他</t>
        </is>
      </c>
      <c r="B16" s="3" t="inlineStr">
        <is>
          <t>新前移 1.4T + 新平衡重</t>
        </is>
      </c>
      <c r="C16" s="3" t="inlineStr">
        <is>
          <t>是（购入月现金或月折旧，二选一问财务）</t>
        </is>
      </c>
      <c r="D16" s="3" t="inlineStr">
        <is>
          <t>CapEx</t>
        </is>
      </c>
      <c r="E16" s="3" t="inlineStr">
        <is>
          <t>2012 旧车不计产能；2015 仅备用。</t>
        </is>
      </c>
      <c r="F16" s="5" t="inlineStr">
        <is>
          <t>询价 + 吨位 + 折旧年限</t>
        </is>
      </c>
    </row>
    <row r="17">
      <c r="A17" s="3" t="inlineStr">
        <is>
          <t>其他</t>
        </is>
      </c>
      <c r="B17" s="3" t="inlineStr">
        <is>
          <t>叉车维保 / 充电 / 备件</t>
        </is>
      </c>
      <c r="C17" s="3" t="inlineStr">
        <is>
          <t>是</t>
        </is>
      </c>
      <c r="D17" s="3" t="inlineStr">
        <is>
          <t>OpEx</t>
        </is>
      </c>
      <c r="E17" s="3" t="inlineStr">
        <is>
          <t>工程主责，预算仍要列。</t>
        </is>
      </c>
      <c r="F17" s="5" t="inlineStr">
        <is>
          <t>维保合同</t>
        </is>
      </c>
    </row>
    <row r="18">
      <c r="A18" s="3" t="inlineStr">
        <is>
          <t>其他</t>
        </is>
      </c>
      <c r="B18" s="3" t="inlineStr">
        <is>
          <t>10 号一楼办公（电脑+打印）</t>
        </is>
      </c>
      <c r="C18" s="3" t="inlineStr">
        <is>
          <t>是</t>
        </is>
      </c>
      <c r="D18" s="3" t="inlineStr">
        <is>
          <t>小 CapEx/OpEx</t>
        </is>
      </c>
      <c r="E18" s="3" t="inlineStr">
        <is>
          <t>最小闭环。</t>
        </is>
      </c>
      <c r="F18" s="5" t="inlineStr">
        <is>
          <t>询价</t>
        </is>
      </c>
    </row>
    <row r="19">
      <c r="A19" s="3" t="inlineStr">
        <is>
          <t>其他</t>
        </is>
      </c>
      <c r="B19" s="3" t="inlineStr">
        <is>
          <t>保洁（仓+办公）</t>
        </is>
      </c>
      <c r="C19" s="3" t="inlineStr">
        <is>
          <t>是（若物流承担）</t>
        </is>
      </c>
      <c r="D19" s="3" t="inlineStr">
        <is>
          <t>OpEx</t>
        </is>
      </c>
      <c r="E19" s="3" t="inlineStr">
        <is>
          <t>主责工厂公共则本列 0，须书面。</t>
        </is>
      </c>
      <c r="F19" s="5" t="inlineStr">
        <is>
          <t>主责部门</t>
        </is>
      </c>
    </row>
    <row r="20">
      <c r="A20" s="3" t="inlineStr">
        <is>
          <t>其他</t>
        </is>
      </c>
      <c r="B20" s="3" t="inlineStr">
        <is>
          <t>含铬/含硅分区、标识、PPE、持证培训</t>
        </is>
      </c>
      <c r="C20" s="3" t="inlineStr">
        <is>
          <t>是或 EHS 科目</t>
        </is>
      </c>
      <c r="D20" s="3" t="inlineStr">
        <is>
          <t>CapEx/OpEx</t>
        </is>
      </c>
      <c r="E20" s="3" t="inlineStr">
        <is>
          <t>合规门禁；无路径则推迟投产。不填 0 假装没有。</t>
        </is>
      </c>
      <c r="F20" s="5" t="inlineStr">
        <is>
          <t>EHS 清单</t>
        </is>
      </c>
    </row>
    <row r="21">
      <c r="A21" s="3" t="inlineStr">
        <is>
          <t>其他</t>
        </is>
      </c>
      <c r="B21" s="3" t="inlineStr">
        <is>
          <t>废弃物（含铬相关）</t>
        </is>
      </c>
      <c r="C21" s="3" t="inlineStr">
        <is>
          <t>仅当仓/物流主责</t>
        </is>
      </c>
      <c r="D21" s="3" t="inlineStr">
        <is>
          <t>OpEx</t>
        </is>
      </c>
      <c r="E21" s="3" t="inlineStr">
        <is>
          <t>生产提出过；默认生产/EHS 主责，仓不兜底。</t>
        </is>
      </c>
      <c r="F21" s="5" t="inlineStr">
        <is>
          <t>厂长点名主责</t>
        </is>
      </c>
    </row>
    <row r="22">
      <c r="A22" s="3" t="inlineStr">
        <is>
          <t>其他</t>
        </is>
      </c>
      <c r="B22" s="3" t="inlineStr">
        <is>
          <t>出单打签系统/耗材</t>
        </is>
      </c>
      <c r="C22" s="4" t="inlineStr">
        <is>
          <t>否（不默认进仓）</t>
        </is>
      </c>
      <c r="D22" s="3" t="inlineStr">
        <is>
          <t>OpEx 在 Shipping/计划</t>
        </is>
      </c>
      <c r="E22" s="3" t="inlineStr">
        <is>
          <t>仓员不顺便做。</t>
        </is>
      </c>
      <c r="F22" s="5" t="inlineStr">
        <is>
          <t>主责部门</t>
        </is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6" customWidth="1" min="16" max="16"/>
  </cols>
  <sheetData>
    <row r="1" ht="22" customHeight="1">
      <c r="A1" s="2" t="inlineStr">
        <is>
          <t>科目</t>
        </is>
      </c>
      <c r="B1" s="2" t="inlineStr">
        <is>
          <t>子项 / 驱动</t>
        </is>
      </c>
      <c r="C1" s="2" t="inlineStr">
        <is>
          <t>2027-01</t>
        </is>
      </c>
      <c r="D1" s="2" t="inlineStr">
        <is>
          <t>2027-02</t>
        </is>
      </c>
      <c r="E1" s="2" t="inlineStr">
        <is>
          <t>2027-03</t>
        </is>
      </c>
      <c r="F1" s="2" t="inlineStr">
        <is>
          <t>2027-04</t>
        </is>
      </c>
      <c r="G1" s="2" t="inlineStr">
        <is>
          <t>2027-05</t>
        </is>
      </c>
      <c r="H1" s="2" t="inlineStr">
        <is>
          <t>2027-06</t>
        </is>
      </c>
      <c r="I1" s="2" t="inlineStr">
        <is>
          <t>2027-07</t>
        </is>
      </c>
      <c r="J1" s="2" t="inlineStr">
        <is>
          <t>2027-08</t>
        </is>
      </c>
      <c r="K1" s="2" t="inlineStr">
        <is>
          <t>2027-09</t>
        </is>
      </c>
      <c r="L1" s="2" t="inlineStr">
        <is>
          <t>2027-10</t>
        </is>
      </c>
      <c r="M1" s="2" t="inlineStr">
        <is>
          <t>2027-11</t>
        </is>
      </c>
      <c r="N1" s="2" t="inlineStr">
        <is>
          <t>2027-12</t>
        </is>
      </c>
      <c r="O1" s="2" t="inlineStr">
        <is>
          <t>2027合计</t>
        </is>
      </c>
      <c r="P1" s="2" t="inlineStr">
        <is>
          <t>填数规则</t>
        </is>
      </c>
    </row>
    <row r="2" ht="32" customHeight="1">
      <c r="A2" s="3" t="inlineStr">
        <is>
          <t>驱动</t>
        </is>
      </c>
      <c r="B2" s="3" t="inlineStr">
        <is>
          <t>成品产量 T（默认 472/12，MP 可改）</t>
        </is>
      </c>
      <c r="C2" s="7">
        <f>'01-产量与驱动'!$B$4/12</f>
        <v/>
      </c>
      <c r="D2" s="7">
        <f>'01-产量与驱动'!$B$4/12</f>
        <v/>
      </c>
      <c r="E2" s="7">
        <f>'01-产量与驱动'!$B$4/12</f>
        <v/>
      </c>
      <c r="F2" s="7">
        <f>'01-产量与驱动'!$B$4/12</f>
        <v/>
      </c>
      <c r="G2" s="7">
        <f>'01-产量与驱动'!$B$4/12</f>
        <v/>
      </c>
      <c r="H2" s="7">
        <f>'01-产量与驱动'!$B$4/12</f>
        <v/>
      </c>
      <c r="I2" s="7">
        <f>'01-产量与驱动'!$B$4/12</f>
        <v/>
      </c>
      <c r="J2" s="7">
        <f>'01-产量与驱动'!$B$4/12</f>
        <v/>
      </c>
      <c r="K2" s="7">
        <f>'01-产量与驱动'!$B$4/12</f>
        <v/>
      </c>
      <c r="L2" s="7">
        <f>'01-产量与驱动'!$B$4/12</f>
        <v/>
      </c>
      <c r="M2" s="7">
        <f>'01-产量与驱动'!$B$4/12</f>
        <v/>
      </c>
      <c r="N2" s="7">
        <f>'01-产量与驱动'!$B$4/12</f>
        <v/>
      </c>
      <c r="O2" s="7">
        <f>SUM(C2:N2)</f>
        <v/>
      </c>
      <c r="P2" s="3" t="inlineStr">
        <is>
          <t>产量驱动行。MP 给爬坡后改各月，不要改合计公式。</t>
        </is>
      </c>
    </row>
    <row r="3" ht="32" customHeight="1">
      <c r="A3" s="3" t="inlineStr">
        <is>
          <t>驱动</t>
        </is>
      </c>
      <c r="B3" s="3" t="inlineStr">
        <is>
          <t>进口原料 T（=产量×投入系数×进口占比；缺系数则留空）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>
        <f>SUM(C3:N3)</f>
        <v/>
      </c>
      <c r="P3" s="3" t="inlineStr">
        <is>
          <t>有费率×驱动后再填。禁止估一个整数充数。</t>
        </is>
      </c>
    </row>
    <row r="4" ht="32" customHeight="1">
      <c r="A4" s="3" t="inlineStr">
        <is>
          <t>运费</t>
        </is>
      </c>
      <c r="B4" s="3" t="inlineStr">
        <is>
          <t>到港后内陆 洋山/PVG→金山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>
        <f>SUM(C4:N4)</f>
        <v/>
      </c>
      <c r="P4" s="3" t="inlineStr">
        <is>
          <t>有费率×驱动后再填。禁止估一个整数充数。</t>
        </is>
      </c>
    </row>
    <row r="5" ht="32" customHeight="1">
      <c r="A5" s="3" t="inlineStr">
        <is>
          <t>运费</t>
        </is>
      </c>
      <c r="B5" s="3" t="inlineStr">
        <is>
          <t>金山→客户 成品配送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>
        <f>SUM(C5:N5)</f>
        <v/>
      </c>
      <c r="P5" s="3" t="inlineStr">
        <is>
          <t>有费率×驱动后再填。禁止估一个整数充数。</t>
        </is>
      </c>
    </row>
    <row r="6" ht="32" customHeight="1">
      <c r="A6" s="3" t="inlineStr">
        <is>
          <t>运费</t>
        </is>
      </c>
      <c r="B6" s="3" t="inlineStr">
        <is>
          <t>金山↔独山 调拨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>
        <f>SUM(C6:N6)</f>
        <v/>
      </c>
      <c r="P6" s="3" t="inlineStr">
        <is>
          <t>有费率×驱动后再填。禁止估一个整数充数。</t>
        </is>
      </c>
    </row>
    <row r="7" ht="32" customHeight="1">
      <c r="A7" s="3" t="inlineStr">
        <is>
          <t>运费</t>
        </is>
      </c>
      <c r="B7" s="3" t="inlineStr">
        <is>
          <t>紧急空运（基线 0）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>
        <f>SUM(C7:N7)</f>
        <v/>
      </c>
      <c r="P7" s="3" t="inlineStr">
        <is>
          <t>基线 0。启用外仓/空运时改对应月。</t>
        </is>
      </c>
    </row>
    <row r="8" ht="32" customHeight="1">
      <c r="A8" s="10" t="inlineStr">
        <is>
          <t>运费</t>
        </is>
      </c>
      <c r="B8" s="10" t="inlineStr">
        <is>
          <t>运费小计</t>
        </is>
      </c>
      <c r="C8" s="11">
        <f>C4+C5+C6+C7</f>
        <v/>
      </c>
      <c r="D8" s="10">
        <f>D4+D5+D6+D7</f>
        <v/>
      </c>
      <c r="E8" s="10">
        <f>E4+E5+E6+E7</f>
        <v/>
      </c>
      <c r="F8" s="10">
        <f>F4+F5+F6+F7</f>
        <v/>
      </c>
      <c r="G8" s="10">
        <f>G4+G5+G6+G7</f>
        <v/>
      </c>
      <c r="H8" s="10">
        <f>H4+H5+H6+H7</f>
        <v/>
      </c>
      <c r="I8" s="10">
        <f>I4+I5+I6+I7</f>
        <v/>
      </c>
      <c r="J8" s="10">
        <f>J4+J5+J6+J7</f>
        <v/>
      </c>
      <c r="K8" s="10">
        <f>K4+K5+K6+K7</f>
        <v/>
      </c>
      <c r="L8" s="10">
        <f>L4+L5+L6+L7</f>
        <v/>
      </c>
      <c r="M8" s="10">
        <f>M4+M5+M6+M7</f>
        <v/>
      </c>
      <c r="N8" s="10">
        <f>N4+N5+N6+N7</f>
        <v/>
      </c>
      <c r="O8" s="10">
        <f>SUM(C8:N8)</f>
        <v/>
      </c>
      <c r="P8" s="10" t="inlineStr">
        <is>
          <t>运费小计</t>
        </is>
      </c>
    </row>
    <row r="9" ht="32" customHeight="1">
      <c r="A9" s="3" t="inlineStr">
        <is>
          <t>外仓</t>
        </is>
      </c>
      <c r="B9" s="3" t="inlineStr">
        <is>
          <t>金山厂内租赁（自有=0）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>
        <f>SUM(C9:N9)</f>
        <v/>
      </c>
      <c r="P9" s="3" t="inlineStr">
        <is>
          <t>基线 0。启用外仓/空运时改对应月。</t>
        </is>
      </c>
    </row>
    <row r="10" ht="32" customHeight="1">
      <c r="A10" s="3" t="inlineStr">
        <is>
          <t>外仓</t>
        </is>
      </c>
      <c r="B10" s="3" t="inlineStr">
        <is>
          <t>长春/沧州 3PL（默认 0）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>
        <f>SUM(C10:N10)</f>
        <v/>
      </c>
      <c r="P10" s="3" t="inlineStr">
        <is>
          <t>基线 0。启用外仓/空运时改对应月。</t>
        </is>
      </c>
    </row>
    <row r="11" ht="32" customHeight="1">
      <c r="A11" s="10" t="inlineStr">
        <is>
          <t>外仓</t>
        </is>
      </c>
      <c r="B11" s="10" t="inlineStr">
        <is>
          <t>外仓小计</t>
        </is>
      </c>
      <c r="C11" s="11">
        <f>C9+C10</f>
        <v/>
      </c>
      <c r="D11" s="10">
        <f>D9+D10</f>
        <v/>
      </c>
      <c r="E11" s="10">
        <f>E9+E10</f>
        <v/>
      </c>
      <c r="F11" s="10">
        <f>F9+F10</f>
        <v/>
      </c>
      <c r="G11" s="10">
        <f>G9+G10</f>
        <v/>
      </c>
      <c r="H11" s="10">
        <f>H9+H10</f>
        <v/>
      </c>
      <c r="I11" s="10">
        <f>I9+I10</f>
        <v/>
      </c>
      <c r="J11" s="10">
        <f>J9+J10</f>
        <v/>
      </c>
      <c r="K11" s="10">
        <f>K9+K10</f>
        <v/>
      </c>
      <c r="L11" s="10">
        <f>L9+L10</f>
        <v/>
      </c>
      <c r="M11" s="10">
        <f>M9+M10</f>
        <v/>
      </c>
      <c r="N11" s="10">
        <f>N9+N10</f>
        <v/>
      </c>
      <c r="O11" s="10">
        <f>SUM(C11:N11)</f>
        <v/>
      </c>
      <c r="P11" s="10" t="inlineStr">
        <is>
          <t>外仓小计（自有仓应为 0）</t>
        </is>
      </c>
    </row>
    <row r="12" ht="32" customHeight="1">
      <c r="A12" s="3" t="inlineStr">
        <is>
          <t>进口手续费</t>
        </is>
      </c>
      <c r="B12" s="3" t="inlineStr">
        <is>
          <t>报关/换单/港杂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>
        <f>SUM(C12:N12)</f>
        <v/>
      </c>
      <c r="P12" s="3" t="inlineStr">
        <is>
          <t>有费率×驱动后再填。禁止估一个整数充数。</t>
        </is>
      </c>
    </row>
    <row r="13" ht="32" customHeight="1">
      <c r="A13" s="3" t="inlineStr">
        <is>
          <t>进口手续费</t>
        </is>
      </c>
      <c r="B13" s="3" t="inlineStr">
        <is>
          <t>危化申报/查验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>
        <f>SUM(C13:N13)</f>
        <v/>
      </c>
      <c r="P13" s="3" t="inlineStr">
        <is>
          <t>有费率×驱动后再填。禁止估一个整数充数。</t>
        </is>
      </c>
    </row>
    <row r="14" ht="32" customHeight="1">
      <c r="A14" s="10" t="inlineStr">
        <is>
          <t>进口手续费</t>
        </is>
      </c>
      <c r="B14" s="10" t="inlineStr">
        <is>
          <t>进口手续费小计</t>
        </is>
      </c>
      <c r="C14" s="11">
        <f>C12+C13</f>
        <v/>
      </c>
      <c r="D14" s="10">
        <f>D12+D13</f>
        <v/>
      </c>
      <c r="E14" s="10">
        <f>E12+E13</f>
        <v/>
      </c>
      <c r="F14" s="10">
        <f>F12+F13</f>
        <v/>
      </c>
      <c r="G14" s="10">
        <f>G12+G13</f>
        <v/>
      </c>
      <c r="H14" s="10">
        <f>H12+H13</f>
        <v/>
      </c>
      <c r="I14" s="10">
        <f>I12+I13</f>
        <v/>
      </c>
      <c r="J14" s="10">
        <f>J12+J13</f>
        <v/>
      </c>
      <c r="K14" s="10">
        <f>K12+K13</f>
        <v/>
      </c>
      <c r="L14" s="10">
        <f>L12+L13</f>
        <v/>
      </c>
      <c r="M14" s="10">
        <f>M12+M13</f>
        <v/>
      </c>
      <c r="N14" s="10">
        <f>N12+N13</f>
        <v/>
      </c>
      <c r="O14" s="10">
        <f>SUM(C14:N14)</f>
        <v/>
      </c>
      <c r="P14" s="10" t="inlineStr">
        <is>
          <t>进口手续费小计（不含关税增值税）</t>
        </is>
      </c>
    </row>
    <row r="15" ht="32" customHeight="1">
      <c r="A15" s="3" t="inlineStr">
        <is>
          <t>其他</t>
        </is>
      </c>
      <c r="B15" s="3" t="inlineStr">
        <is>
          <t>仓操作 2 人（月薪资，HR 填）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>
        <f>SUM(C15:N15)</f>
        <v/>
      </c>
      <c r="P15" s="3" t="inlineStr">
        <is>
          <t>有费率×驱动后再填。禁止估一个整数充数。</t>
        </is>
      </c>
    </row>
    <row r="16" ht="32" customHeight="1">
      <c r="A16" s="3" t="inlineStr">
        <is>
          <t>其他</t>
        </is>
      </c>
      <c r="B16" s="3" t="inlineStr">
        <is>
          <t>独山 Backup 人天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>
        <f>SUM(C16:N16)</f>
        <v/>
      </c>
      <c r="P16" s="3" t="inlineStr">
        <is>
          <t>有费率×驱动后再填。禁止估一个整数充数。</t>
        </is>
      </c>
    </row>
    <row r="17" ht="32" customHeight="1">
      <c r="A17" s="3" t="inlineStr">
        <is>
          <t>其他</t>
        </is>
      </c>
      <c r="B17" s="3" t="inlineStr">
        <is>
          <t>叉车折旧或购入月现金（与财务选口径）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>
        <f>SUM(C17:N17)</f>
        <v/>
      </c>
      <c r="P17" s="3" t="inlineStr">
        <is>
          <t>有费率×驱动后再填。禁止估一个整数充数。</t>
        </is>
      </c>
    </row>
    <row r="18" ht="32" customHeight="1">
      <c r="A18" s="3" t="inlineStr">
        <is>
          <t>其他</t>
        </is>
      </c>
      <c r="B18" s="3" t="inlineStr">
        <is>
          <t>叉车维保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>
        <f>SUM(C18:N18)</f>
        <v/>
      </c>
      <c r="P18" s="3" t="inlineStr">
        <is>
          <t>有费率×驱动后再填。禁止估一个整数充数。</t>
        </is>
      </c>
    </row>
    <row r="19" ht="32" customHeight="1">
      <c r="A19" s="3" t="inlineStr">
        <is>
          <t>其他</t>
        </is>
      </c>
      <c r="B19" s="3" t="inlineStr">
        <is>
          <t>办公+保洁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>
        <f>SUM(C19:N19)</f>
        <v/>
      </c>
      <c r="P19" s="3" t="inlineStr">
        <is>
          <t>有费率×驱动后再填。禁止估一个整数充数。</t>
        </is>
      </c>
    </row>
    <row r="20" ht="32" customHeight="1">
      <c r="A20" s="3" t="inlineStr">
        <is>
          <t>其他</t>
        </is>
      </c>
      <c r="B20" s="3" t="inlineStr">
        <is>
          <t>含铬硅合规/PPE/培训（无报价则留空）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>
        <f>SUM(C20:N20)</f>
        <v/>
      </c>
      <c r="P20" s="3" t="inlineStr">
        <is>
          <t>有费率×驱动后再填。禁止估一个整数充数。</t>
        </is>
      </c>
    </row>
    <row r="21" ht="32" customHeight="1">
      <c r="A21" s="10" t="inlineStr">
        <is>
          <t>其他</t>
        </is>
      </c>
      <c r="B21" s="10" t="inlineStr">
        <is>
          <t>其他小计</t>
        </is>
      </c>
      <c r="C21" s="11">
        <f>C15+C16+C17+C18+C19+C20</f>
        <v/>
      </c>
      <c r="D21" s="10">
        <f>D15+D16+D17+D18+D19+D20</f>
        <v/>
      </c>
      <c r="E21" s="10">
        <f>E15+E16+E17+E18+E19+E20</f>
        <v/>
      </c>
      <c r="F21" s="10">
        <f>F15+F16+F17+F18+F19+F20</f>
        <v/>
      </c>
      <c r="G21" s="10">
        <f>G15+G16+G17+G18+G19+G20</f>
        <v/>
      </c>
      <c r="H21" s="10">
        <f>H15+H16+H17+H18+H19+H20</f>
        <v/>
      </c>
      <c r="I21" s="10">
        <f>I15+I16+I17+I18+I19+I20</f>
        <v/>
      </c>
      <c r="J21" s="10">
        <f>J15+J16+J17+J18+J19+J20</f>
        <v/>
      </c>
      <c r="K21" s="10">
        <f>K15+K16+K17+K18+K19+K20</f>
        <v/>
      </c>
      <c r="L21" s="10">
        <f>L15+L16+L17+L18+L19+L20</f>
        <v/>
      </c>
      <c r="M21" s="10">
        <f>M15+M16+M17+M18+M19+M20</f>
        <v/>
      </c>
      <c r="N21" s="10">
        <f>N15+N16+N17+N18+N19+N20</f>
        <v/>
      </c>
      <c r="O21" s="10">
        <f>SUM(C21:N21)</f>
        <v/>
      </c>
      <c r="P21" s="10" t="inlineStr">
        <is>
          <t>其他小计</t>
        </is>
      </c>
    </row>
    <row r="22" ht="32" customHeight="1">
      <c r="A22" s="2" t="inlineStr">
        <is>
          <t>合计</t>
        </is>
      </c>
      <c r="B22" s="2" t="inlineStr">
        <is>
          <t>四类合计</t>
        </is>
      </c>
      <c r="C22" s="12">
        <f>C8+C11+C14+C21</f>
        <v/>
      </c>
      <c r="D22" s="2">
        <f>D8+D11+D14+D21</f>
        <v/>
      </c>
      <c r="E22" s="2">
        <f>E8+E11+E14+E21</f>
        <v/>
      </c>
      <c r="F22" s="2">
        <f>F8+F11+F14+F21</f>
        <v/>
      </c>
      <c r="G22" s="2">
        <f>G8+G11+G14+G21</f>
        <v/>
      </c>
      <c r="H22" s="2">
        <f>H8+H11+H14+H21</f>
        <v/>
      </c>
      <c r="I22" s="2">
        <f>I8+I11+I14+I21</f>
        <v/>
      </c>
      <c r="J22" s="2">
        <f>J8+J11+J14+J21</f>
        <v/>
      </c>
      <c r="K22" s="2">
        <f>K8+K11+K14+K21</f>
        <v/>
      </c>
      <c r="L22" s="2">
        <f>L8+L11+L14+L21</f>
        <v/>
      </c>
      <c r="M22" s="2">
        <f>M8+M11+M14+M21</f>
        <v/>
      </c>
      <c r="N22" s="2">
        <f>N8+N11+N14+N21</f>
        <v/>
      </c>
      <c r="O22" s="2">
        <f>SUM(C22:N22)</f>
        <v/>
      </c>
      <c r="P22" s="2" t="inlineStr">
        <is>
          <t>四类合计</t>
        </is>
      </c>
    </row>
    <row r="24" ht="36" customHeight="1">
      <c r="A24" s="5" t="inlineStr">
        <is>
          <t>黄色格=待费率。绿色格=已定性为 0。蓝色小计勿手改。产量行已用 472/12；MP 给爬坡后只改第 2 行各月。进口原料行在 01 表系数齐备前保持空白。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</sheetData>
  <mergeCells count="1">
    <mergeCell ref="A24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62" customWidth="1" min="3" max="3"/>
    <col width="16" customWidth="1" min="4" max="4"/>
    <col width="14" customWidth="1" min="5" max="5"/>
  </cols>
  <sheetData>
    <row r="1">
      <c r="A1" s="2" t="inlineStr">
        <is>
          <t>项</t>
        </is>
      </c>
      <c r="B1" s="2" t="inlineStr">
        <is>
          <t>是否物流预算</t>
        </is>
      </c>
      <c r="C1" s="2" t="inlineStr">
        <is>
          <t>说明</t>
        </is>
      </c>
      <c r="D1" s="2" t="inlineStr">
        <is>
          <t>RMB（待填）</t>
        </is>
      </c>
      <c r="E1" s="2" t="inlineStr">
        <is>
          <t>Owner</t>
        </is>
      </c>
    </row>
    <row r="2" ht="36" customHeight="1">
      <c r="A2" s="3" t="inlineStr">
        <is>
          <t>现有金山产线设备迁独山（特种/危货运输）</t>
        </is>
      </c>
      <c r="B2" s="3" t="inlineStr">
        <is>
          <t>是-运费一次性</t>
        </is>
      </c>
      <c r="C2" s="3" t="inlineStr">
        <is>
          <t>财务邮件假设 2026 年底。与 2027 C&amp;S 运行运费分开。</t>
        </is>
      </c>
      <c r="D2" s="3" t="n"/>
      <c r="E2" s="3" t="inlineStr">
        <is>
          <t>物流+生产</t>
        </is>
      </c>
    </row>
    <row r="3" ht="36" customHeight="1">
      <c r="A3" s="3" t="inlineStr">
        <is>
          <t>剩余原料/成品迁独山</t>
        </is>
      </c>
      <c r="B3" s="3" t="inlineStr">
        <is>
          <t>是-运费一次性</t>
        </is>
      </c>
      <c r="C3" s="3" t="inlineStr">
        <is>
          <t>库存盘点后再估车次。</t>
        </is>
      </c>
      <c r="D3" s="3" t="n"/>
      <c r="E3" s="3" t="inlineStr">
        <is>
          <t>仓+MP</t>
        </is>
      </c>
    </row>
    <row r="4" ht="36" customHeight="1">
      <c r="A4" s="3" t="inlineStr">
        <is>
          <t>金山仓清场、旧叉车报废/处置</t>
        </is>
      </c>
      <c r="B4" s="3" t="inlineStr">
        <is>
          <t>其他一次性</t>
        </is>
      </c>
      <c r="C4" s="3" t="inlineStr">
        <is>
          <t>2012 两台停用车不计入 2027 产能。</t>
        </is>
      </c>
      <c r="D4" s="3" t="n"/>
      <c r="E4" s="3" t="inlineStr">
        <is>
          <t>工程/仓</t>
        </is>
      </c>
    </row>
    <row r="5" ht="36" customHeight="1">
      <c r="A5" s="3" t="inlineStr">
        <is>
          <t>独山接收增加的仓容/人力冲击</t>
        </is>
      </c>
      <c r="B5" s="3" t="inlineStr">
        <is>
          <t>不进金山四类，须书面提示财务</t>
        </is>
      </c>
      <c r="C5" s="13" t="inlineStr">
        <is>
          <t>独山 5 号甲类已约 80–85%。迁线可能挤独山，不是金山外仓费。</t>
        </is>
      </c>
      <c r="D5" s="3" t="n"/>
      <c r="E5" s="3" t="inlineStr">
        <is>
          <t>厂长/财务</t>
        </is>
      </c>
    </row>
    <row r="6" ht="36" customHeight="1">
      <c r="A6" s="3" t="inlineStr">
        <is>
          <t>2027 投产前金山仓空窗期（人已到岗、货未到）</t>
        </is>
      </c>
      <c r="B6" s="3" t="inlineStr">
        <is>
          <t>其他-人力</t>
        </is>
      </c>
      <c r="C6" s="3" t="inlineStr">
        <is>
          <t>招聘早于投产则 2026Q4–2027Q1 仍有工资。</t>
        </is>
      </c>
      <c r="D6" s="3" t="n"/>
      <c r="E6" s="3" t="inlineStr">
        <is>
          <t>HR/物流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2" customWidth="1" min="3" max="3"/>
    <col width="18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问谁</t>
        </is>
      </c>
      <c r="C1" s="2" t="inlineStr">
        <is>
          <t>问题</t>
        </is>
      </c>
      <c r="D1" s="2" t="inlineStr">
        <is>
          <t>卡住哪一类</t>
        </is>
      </c>
      <c r="E1" s="2" t="inlineStr">
        <is>
          <t>状态</t>
        </is>
      </c>
    </row>
    <row r="2" ht="32" customHeight="1">
      <c r="A2" s="3" t="n">
        <v>1</v>
      </c>
      <c r="B2" s="3" t="inlineStr">
        <is>
          <t>计划 MP / 生产</t>
        </is>
      </c>
      <c r="C2" s="3" t="inlineStr">
        <is>
          <t>2027 年 1–12 月含硅、含铬成品产量（可先给爬坡再给稳定月）</t>
        </is>
      </c>
      <c r="D2" s="3" t="inlineStr">
        <is>
          <t>运费、手续费</t>
        </is>
      </c>
      <c r="E2" s="3" t="inlineStr">
        <is>
          <t>未开始</t>
        </is>
      </c>
    </row>
    <row r="3" ht="32" customHeight="1">
      <c r="A3" s="3" t="n">
        <v>2</v>
      </c>
      <c r="B3" s="3" t="inlineStr">
        <is>
          <t>生产 / 工艺</t>
        </is>
      </c>
      <c r="C3" s="3" t="inlineStr">
        <is>
          <t>单位成品的原料投入系数；含铬/含硅分列</t>
        </is>
      </c>
      <c r="D3" s="3" t="inlineStr">
        <is>
          <t>运费、手续费</t>
        </is>
      </c>
      <c r="E3" s="3" t="inlineStr">
        <is>
          <t>未开始</t>
        </is>
      </c>
    </row>
    <row r="4" ht="32" customHeight="1">
      <c r="A4" s="3" t="n">
        <v>3</v>
      </c>
      <c r="B4" s="3" t="inlineStr">
        <is>
          <t>采购</t>
        </is>
      </c>
      <c r="C4" s="3" t="inlineStr">
        <is>
          <t>原料中德国进口 vs 国内采购的吨或金额占比</t>
        </is>
      </c>
      <c r="D4" s="3" t="inlineStr">
        <is>
          <t>运费、手续费</t>
        </is>
      </c>
      <c r="E4" s="3" t="inlineStr">
        <is>
          <t>未开始</t>
        </is>
      </c>
    </row>
    <row r="5" ht="32" customHeight="1">
      <c r="A5" s="3" t="n">
        <v>4</v>
      </c>
      <c r="B5" s="3" t="inlineStr">
        <is>
          <t>财务 Yiwen</t>
        </is>
      </c>
      <c r="C5" s="3" t="inlineStr">
        <is>
          <t>CIF 国际运费是否进中国「运费」？关税增值税是否进本四类？叉车按购入月现金还是折旧？</t>
        </is>
      </c>
      <c r="D5" s="3" t="inlineStr">
        <is>
          <t>全部口径</t>
        </is>
      </c>
      <c r="E5" s="3" t="inlineStr">
        <is>
          <t>未开始</t>
        </is>
      </c>
    </row>
    <row r="6" ht="32" customHeight="1">
      <c r="A6" s="3" t="n">
        <v>5</v>
      </c>
      <c r="B6" s="3" t="inlineStr">
        <is>
          <t>物流+MP</t>
        </is>
      </c>
      <c r="C6" s="3" t="inlineStr">
        <is>
          <t>进口到港后直送金山，还是先独山再调拨？</t>
        </is>
      </c>
      <c r="D6" s="3" t="inlineStr">
        <is>
          <t>运费</t>
        </is>
      </c>
      <c r="E6" s="3" t="inlineStr">
        <is>
          <t>未开始</t>
        </is>
      </c>
    </row>
    <row r="7" ht="32" customHeight="1">
      <c r="A7" s="3" t="n">
        <v>6</v>
      </c>
      <c r="B7" s="3" t="inlineStr">
        <is>
          <t>销售</t>
        </is>
      </c>
      <c r="C7" s="3" t="inlineStr">
        <is>
          <t>C&amp;S 成品是否进长春/沧州外仓？主要客户区域？</t>
        </is>
      </c>
      <c r="D7" s="3" t="inlineStr">
        <is>
          <t>外仓、运费</t>
        </is>
      </c>
      <c r="E7" s="3" t="inlineStr">
        <is>
          <t>未开始</t>
        </is>
      </c>
    </row>
    <row r="8" ht="32" customHeight="1">
      <c r="A8" s="3" t="n">
        <v>7</v>
      </c>
      <c r="B8" s="3" t="inlineStr">
        <is>
          <t>厂长</t>
        </is>
      </c>
      <c r="C8" s="3" t="inlineStr">
        <is>
          <t>仓编制 A=2+Backup 还是 B=3？Backup 人天与成本中心？</t>
        </is>
      </c>
      <c r="D8" s="3" t="inlineStr">
        <is>
          <t>其他</t>
        </is>
      </c>
      <c r="E8" s="3" t="inlineStr">
        <is>
          <t>未开始</t>
        </is>
      </c>
    </row>
    <row r="9" ht="32" customHeight="1">
      <c r="A9" s="3" t="n">
        <v>8</v>
      </c>
      <c r="B9" s="3" t="inlineStr">
        <is>
          <t>生产</t>
        </is>
      </c>
      <c r="C9" s="3" t="inlineStr">
        <is>
          <t>平衡重吨位（单批投料+釜重）与投产月</t>
        </is>
      </c>
      <c r="D9" s="3" t="inlineStr">
        <is>
          <t>其他-叉车</t>
        </is>
      </c>
      <c r="E9" s="3" t="inlineStr">
        <is>
          <t>未开始</t>
        </is>
      </c>
    </row>
    <row r="10" ht="32" customHeight="1">
      <c r="A10" s="3" t="n">
        <v>9</v>
      </c>
      <c r="B10" s="3" t="inlineStr">
        <is>
          <t>EHS</t>
        </is>
      </c>
      <c r="C10" s="3" t="inlineStr">
        <is>
          <t>含铬存储分区、PPE、培训、废弃物主责与概算</t>
        </is>
      </c>
      <c r="D10" s="3" t="inlineStr">
        <is>
          <t>其他</t>
        </is>
      </c>
      <c r="E10" s="3" t="inlineStr">
        <is>
          <t>未开始</t>
        </is>
      </c>
    </row>
    <row r="11" ht="32" customHeight="1">
      <c r="A11" s="3" t="n">
        <v>10</v>
      </c>
      <c r="B11" s="3" t="inlineStr">
        <is>
          <t>HR</t>
        </is>
      </c>
      <c r="C11" s="3" t="inlineStr">
        <is>
          <t>仓员 2 人到位月、薪资包</t>
        </is>
      </c>
      <c r="D11" s="3" t="inlineStr">
        <is>
          <t>其他</t>
        </is>
      </c>
      <c r="E11" s="3" t="inlineStr">
        <is>
          <t>未开始</t>
        </is>
      </c>
    </row>
  </sheetData>
  <dataValidations count="1">
    <dataValidation sqref="E2:E11" showDropDown="0" showInputMessage="0" showErrorMessage="0" allowBlank="0" type="list">
      <formula1>"未开始,进行中,已回复"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2026-10-12T07:58:06Z</dcterms:created>
  <dcterms:modified xsi:type="dcterms:W3CDTF">2026-10-12T07:58:06Z</dcterms:modified>
</cp:coreProperties>
</file>